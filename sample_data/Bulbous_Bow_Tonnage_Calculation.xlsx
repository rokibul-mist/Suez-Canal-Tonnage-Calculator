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lbous_Bow_Calcu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000"/>
    <numFmt numFmtId="166" formatCode="#,##0.0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9"/>
    </font>
    <font>
      <name val="Calibri"/>
      <i val="1"/>
      <color rgb="00555555"/>
      <sz val="8"/>
    </font>
    <font>
      <name val="Calibri"/>
      <b val="1"/>
      <color rgb="001B365D"/>
      <sz val="10"/>
    </font>
    <font>
      <name val="Calibri"/>
      <b val="1"/>
      <sz val="9"/>
    </font>
    <font>
      <name val="Calibri"/>
      <sz val="9"/>
    </font>
    <font>
      <name val="Calibri"/>
      <b val="1"/>
      <color rgb="001B365D"/>
      <sz val="11"/>
    </font>
  </fonts>
  <fills count="11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2B5B84"/>
      </patternFill>
    </fill>
    <fill>
      <patternFill patternType="solid">
        <fgColor rgb="00F5F5F5"/>
      </patternFill>
    </fill>
    <fill>
      <patternFill patternType="solid">
        <fgColor rgb="00D0E1F9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455A64"/>
      </patternFill>
    </fill>
    <fill>
      <patternFill patternType="solid">
        <fgColor rgb="00E0E0E0"/>
      </patternFill>
    </fill>
    <fill>
      <patternFill patternType="solid">
        <fgColor rgb="00FFE0B2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 style="thin">
        <color rgb="00CCCCCC"/>
      </right>
      <top style="medium">
        <color rgb="001B365D"/>
      </top>
      <bottom style="double">
        <color rgb="001B365D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164" fontId="5" fillId="6" borderId="1" applyAlignment="1" pivotButton="0" quotePrefix="0" xfId="0">
      <alignment horizontal="center" vertical="center" wrapText="1"/>
    </xf>
    <xf numFmtId="0" fontId="0" fillId="4" borderId="1" pivotButton="0" quotePrefix="0" xfId="0"/>
    <xf numFmtId="165" fontId="5" fillId="7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2" fillId="8" borderId="1" applyAlignment="1" pivotButton="0" quotePrefix="0" xfId="0">
      <alignment horizontal="center" vertical="center" wrapText="1"/>
    </xf>
    <xf numFmtId="164" fontId="6" fillId="4" borderId="1" applyAlignment="1" pivotButton="0" quotePrefix="0" xfId="0">
      <alignment horizontal="right" vertical="center"/>
    </xf>
    <xf numFmtId="164" fontId="6" fillId="6" borderId="1" applyAlignment="1" pivotButton="0" quotePrefix="0" xfId="0">
      <alignment horizontal="right" vertical="center"/>
    </xf>
    <xf numFmtId="164" fontId="5" fillId="7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 wrapText="1"/>
    </xf>
    <xf numFmtId="166" fontId="6" fillId="7" borderId="1" applyAlignment="1" pivotButton="0" quotePrefix="0" xfId="0">
      <alignment horizontal="right" vertical="center"/>
    </xf>
    <xf numFmtId="0" fontId="5" fillId="9" borderId="1" applyAlignment="1" pivotButton="0" quotePrefix="0" xfId="0">
      <alignment horizontal="left" vertical="center" wrapText="1"/>
    </xf>
    <xf numFmtId="0" fontId="0" fillId="9" borderId="1" pivotButton="0" quotePrefix="0" xfId="0"/>
    <xf numFmtId="166" fontId="5" fillId="9" borderId="1" applyAlignment="1" pivotButton="0" quotePrefix="0" xfId="0">
      <alignment horizontal="right" vertical="center"/>
    </xf>
    <xf numFmtId="166" fontId="5" fillId="7" borderId="1" applyAlignment="1" pivotButton="0" quotePrefix="0" xfId="0">
      <alignment horizontal="right" vertical="center"/>
    </xf>
    <xf numFmtId="166" fontId="4" fillId="10" borderId="2" applyAlignment="1" pivotButton="0" quotePrefix="0" xfId="0">
      <alignment horizontal="right" vertical="center"/>
    </xf>
    <xf numFmtId="0" fontId="0" fillId="8" borderId="1" pivotButton="0" quotePrefix="0" xfId="0"/>
    <xf numFmtId="0" fontId="6" fillId="4" borderId="1" applyAlignment="1" pivotButton="0" quotePrefix="0" xfId="0">
      <alignment horizontal="left" vertical="center" wrapText="1"/>
    </xf>
    <xf numFmtId="0" fontId="0" fillId="7" borderId="1" pivotButton="0" quotePrefix="0" xfId="0"/>
    <xf numFmtId="0" fontId="5" fillId="5" borderId="1" applyAlignment="1" pivotButton="0" quotePrefix="0" xfId="0">
      <alignment horizontal="left" vertical="center" wrapText="1"/>
    </xf>
    <xf numFmtId="0" fontId="0" fillId="5" borderId="1" pivotButton="0" quotePrefix="0" xfId="0"/>
    <xf numFmtId="4" fontId="7" fillId="10" borderId="2" applyAlignment="1" pivotButton="0" quotePrefix="0" xfId="0">
      <alignment horizontal="right" vertical="center"/>
    </xf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2" customWidth="1" min="3" max="3"/>
    <col width="20" customWidth="1" min="4" max="4"/>
    <col width="22" customWidth="1" min="5" max="5"/>
    <col width="28" customWidth="1" min="6" max="6"/>
    <col width="20" customWidth="1" min="7" max="7"/>
  </cols>
  <sheetData>
    <row r="1" ht="28" customHeight="1">
      <c r="A1" s="1" t="inlineStr">
        <is>
          <t>SUEZ CANAL TONNAGE - BULBOUS BOW CALCULATION</t>
        </is>
      </c>
    </row>
    <row r="2" ht="18" customHeight="1">
      <c r="A2" s="2" t="inlineStr">
        <is>
          <t>Vessel: M/V TERVEL | Lbp = 186.10 m | B = 32.26 m | D = 17.80 m | Statutory Moorsom Tonnage (V / 2.83)</t>
        </is>
      </c>
    </row>
    <row r="3" ht="18" customHeight="1">
      <c r="A3" s="3" t="inlineStr">
        <is>
          <t>Procedure: Transverse Simpson 1-4-1 on buttock cuts (C.L., 1000BL, 2000BL) | Longitudinal Simpson 1-4-1 (dx = 1.50 m) + Fore Nose Cap</t>
        </is>
      </c>
    </row>
    <row r="5" ht="20" customHeight="1">
      <c r="A5" s="4" t="inlineStr">
        <is>
          <t>1. BULBOUS BOW GEOMETRY &amp; INTEGRATION PARAMETERS</t>
        </is>
      </c>
    </row>
    <row r="6" ht="19" customHeight="1">
      <c r="A6" s="5" t="inlineStr">
        <is>
          <t>Total Length of Bulbous Bow (L_bulb):</t>
        </is>
      </c>
      <c r="B6" s="5" t="n"/>
      <c r="C6" s="6" t="n">
        <v>5</v>
      </c>
      <c r="D6" s="3" t="inlineStr">
        <is>
          <t>From FP (Station 20) to foremost nose tip</t>
        </is>
      </c>
      <c r="E6" s="7" t="n"/>
      <c r="F6" s="7" t="n"/>
      <c r="G6" s="7" t="n"/>
    </row>
    <row r="7" ht="19" customHeight="1">
      <c r="A7" s="5" t="inlineStr">
        <is>
          <t>Station 20 to Station B Common Interval (dx):</t>
        </is>
      </c>
      <c r="B7" s="5" t="n"/>
      <c r="C7" s="6" t="n">
        <v>1.5</v>
      </c>
      <c r="D7" s="3" t="inlineStr">
        <is>
          <t>Spacing between St. 20, St. A, and St. B = 1.500 m</t>
        </is>
      </c>
      <c r="E7" s="7" t="n"/>
      <c r="F7" s="7" t="n"/>
      <c r="G7" s="7" t="n"/>
    </row>
    <row r="8" ht="19" customHeight="1">
      <c r="A8" s="5" t="inlineStr">
        <is>
          <t>1/3 Longitudinal Multiplier (dx / 3):</t>
        </is>
      </c>
      <c r="B8" s="5" t="n"/>
      <c r="C8" s="8">
        <f>C7/3</f>
        <v/>
      </c>
      <c r="D8" s="3" t="inlineStr">
        <is>
          <t>Simpson 1st Rule longitudinal multiplier = 0.5000 m</t>
        </is>
      </c>
      <c r="E8" s="7" t="n"/>
      <c r="F8" s="7" t="n"/>
      <c r="G8" s="7" t="n"/>
    </row>
    <row r="9" ht="19" customHeight="1">
      <c r="A9" s="5" t="inlineStr">
        <is>
          <t>Forward Nose Cap Length (Station B to Tip):</t>
        </is>
      </c>
      <c r="B9" s="5" t="n"/>
      <c r="C9" s="6" t="n">
        <v>2</v>
      </c>
      <c r="D9" s="3" t="inlineStr">
        <is>
          <t>Length of terminal conical / parabolic cap forward of St. B</t>
        </is>
      </c>
      <c r="E9" s="7" t="n"/>
      <c r="F9" s="7" t="n"/>
      <c r="G9" s="7" t="n"/>
    </row>
    <row r="10" ht="19" customHeight="1">
      <c r="A10" s="5" t="inlineStr">
        <is>
          <t>Transverse Buttock Spacing (dy):</t>
        </is>
      </c>
      <c r="B10" s="5" t="n"/>
      <c r="C10" s="6" t="n">
        <v>1</v>
      </c>
      <c r="D10" s="3" t="inlineStr">
        <is>
          <t>Cutting spacing: C.L. (0m) to 1000BL (1m) to 2000BL (2m)</t>
        </is>
      </c>
      <c r="E10" s="7" t="n"/>
      <c r="F10" s="7" t="n"/>
      <c r="G10" s="7" t="n"/>
    </row>
    <row r="11" ht="19" customHeight="1">
      <c r="A11" s="5" t="inlineStr">
        <is>
          <t>1/3 Transverse Multiplier (dy / 3):</t>
        </is>
      </c>
      <c r="B11" s="5" t="n"/>
      <c r="C11" s="8">
        <f>C10/3</f>
        <v/>
      </c>
      <c r="D11" s="3" t="inlineStr">
        <is>
          <t>Simpson 1st Rule transverse multiplier = 0.3333 m</t>
        </is>
      </c>
      <c r="E11" s="7" t="n"/>
      <c r="F11" s="7" t="n"/>
      <c r="G11" s="7" t="n"/>
    </row>
    <row r="12" ht="19" customHeight="1">
      <c r="A12" s="5" t="inlineStr">
        <is>
          <t>Suez Moorsom Conversion Divisor:</t>
        </is>
      </c>
      <c r="B12" s="5" t="n"/>
      <c r="C12" s="9" t="n">
        <v>2.83</v>
      </c>
      <c r="D12" s="3" t="inlineStr">
        <is>
          <t>Statutory divisor: 100 cu. ft. = 2.83 m3 / Suez Ton</t>
        </is>
      </c>
      <c r="E12" s="7" t="n"/>
      <c r="F12" s="7" t="n"/>
      <c r="G12" s="7" t="n"/>
    </row>
    <row r="14" ht="20" customHeight="1">
      <c r="A14" s="10" t="inlineStr">
        <is>
          <t>Station 20 Transverse Area Calculation</t>
        </is>
      </c>
      <c r="B14" s="11" t="n"/>
      <c r="C14" s="11" t="n"/>
      <c r="D14" s="11" t="n"/>
      <c r="E14" s="11" t="n"/>
      <c r="F14" s="11" t="n"/>
      <c r="G14" s="11" t="n"/>
    </row>
    <row r="15" ht="19" customHeight="1">
      <c r="A15" s="12" t="inlineStr">
        <is>
          <t>Buttock Line</t>
        </is>
      </c>
      <c r="B15" s="12" t="inlineStr">
        <is>
          <t>Half-Breadth Y (m)</t>
        </is>
      </c>
      <c r="C15" s="12" t="inlineStr">
        <is>
          <t>Upper Z (m)</t>
        </is>
      </c>
      <c r="D15" s="12" t="inlineStr">
        <is>
          <t>Lower Z (m)</t>
        </is>
      </c>
      <c r="E15" s="12" t="inlineStr">
        <is>
          <t>Depth D (m)</t>
        </is>
      </c>
      <c r="F15" s="12" t="inlineStr">
        <is>
          <t>Factor</t>
        </is>
      </c>
      <c r="G15" s="12" t="inlineStr">
        <is>
          <t>Product (D x M)</t>
        </is>
      </c>
    </row>
    <row r="16" ht="18" customHeight="1">
      <c r="A16" s="5" t="inlineStr">
        <is>
          <t>Centerline (C.L.)</t>
        </is>
      </c>
      <c r="B16" s="13" t="n">
        <v>0</v>
      </c>
      <c r="C16" s="14" t="n">
        <v>10.7</v>
      </c>
      <c r="D16" s="14" t="n">
        <v>0.701</v>
      </c>
      <c r="E16" s="15">
        <f>MAX(0, C16-D16)</f>
        <v/>
      </c>
      <c r="F16" s="16" t="n">
        <v>1</v>
      </c>
      <c r="G16" s="17">
        <f>E16*F16</f>
        <v/>
      </c>
    </row>
    <row r="17" ht="18" customHeight="1">
      <c r="A17" s="5" t="inlineStr">
        <is>
          <t>1000 B.L.</t>
        </is>
      </c>
      <c r="B17" s="13" t="n">
        <v>1</v>
      </c>
      <c r="C17" s="14" t="n">
        <v>9.223000000000001</v>
      </c>
      <c r="D17" s="14" t="n">
        <v>1.064</v>
      </c>
      <c r="E17" s="15">
        <f>MAX(0, C17-D17)</f>
        <v/>
      </c>
      <c r="F17" s="16" t="n">
        <v>4</v>
      </c>
      <c r="G17" s="17">
        <f>E17*F17</f>
        <v/>
      </c>
    </row>
    <row r="18" ht="18" customHeight="1">
      <c r="A18" s="5" t="inlineStr">
        <is>
          <t>2000 B.L.</t>
        </is>
      </c>
      <c r="B18" s="13" t="n">
        <v>2</v>
      </c>
      <c r="C18" s="14" t="n">
        <v>8.388</v>
      </c>
      <c r="D18" s="14" t="n">
        <v>1.734</v>
      </c>
      <c r="E18" s="15">
        <f>MAX(0, C18-D18)</f>
        <v/>
      </c>
      <c r="F18" s="16" t="n">
        <v>1</v>
      </c>
      <c r="G18" s="17">
        <f>E18*F18</f>
        <v/>
      </c>
    </row>
    <row r="19" ht="18" customHeight="1">
      <c r="A19" s="18" t="inlineStr">
        <is>
          <t>Sum of Products</t>
        </is>
      </c>
      <c r="B19" s="19" t="n"/>
      <c r="C19" s="19" t="n"/>
      <c r="D19" s="19" t="n"/>
      <c r="E19" s="19" t="n"/>
      <c r="F19" s="19" t="n"/>
      <c r="G19" s="20">
        <f>SUM(G16:G18)</f>
        <v/>
      </c>
    </row>
    <row r="20" ht="18" customHeight="1">
      <c r="A20" s="5" t="inlineStr">
        <is>
          <t>Half Station Area: (dy / 3) * Sum</t>
        </is>
      </c>
      <c r="B20" s="7" t="n"/>
      <c r="C20" s="7" t="n"/>
      <c r="D20" s="7" t="n"/>
      <c r="E20" s="7" t="n"/>
      <c r="F20" s="7" t="n"/>
      <c r="G20" s="21">
        <f>$C$11*G19</f>
        <v/>
      </c>
    </row>
    <row r="21" ht="20" customHeight="1">
      <c r="A21" s="10" t="inlineStr">
        <is>
          <t>Total Station Area: 2 * Half Area</t>
        </is>
      </c>
      <c r="B21" s="11" t="n"/>
      <c r="C21" s="11" t="n"/>
      <c r="D21" s="11" t="n"/>
      <c r="E21" s="11" t="n"/>
      <c r="F21" s="11" t="n"/>
      <c r="G21" s="22">
        <f>2*G20</f>
        <v/>
      </c>
    </row>
    <row r="23" ht="20" customHeight="1">
      <c r="A23" s="10" t="inlineStr">
        <is>
          <t>Station A Transverse Area Calculation</t>
        </is>
      </c>
      <c r="B23" s="11" t="n"/>
      <c r="C23" s="11" t="n"/>
      <c r="D23" s="11" t="n"/>
      <c r="E23" s="11" t="n"/>
      <c r="F23" s="11" t="n"/>
      <c r="G23" s="11" t="n"/>
    </row>
    <row r="24" ht="19" customHeight="1">
      <c r="A24" s="12" t="inlineStr">
        <is>
          <t>Buttock Line</t>
        </is>
      </c>
      <c r="B24" s="12" t="inlineStr">
        <is>
          <t>Half-Breadth Y (m)</t>
        </is>
      </c>
      <c r="C24" s="12" t="inlineStr">
        <is>
          <t>Upper Z (m)</t>
        </is>
      </c>
      <c r="D24" s="12" t="inlineStr">
        <is>
          <t>Lower Z (m)</t>
        </is>
      </c>
      <c r="E24" s="12" t="inlineStr">
        <is>
          <t>Depth D (m)</t>
        </is>
      </c>
      <c r="F24" s="12" t="inlineStr">
        <is>
          <t>Factor</t>
        </is>
      </c>
      <c r="G24" s="12" t="inlineStr">
        <is>
          <t>Product (D x M)</t>
        </is>
      </c>
    </row>
    <row r="25" ht="18" customHeight="1">
      <c r="A25" s="5" t="inlineStr">
        <is>
          <t>Centerline (C.L.)</t>
        </is>
      </c>
      <c r="B25" s="13" t="n">
        <v>0</v>
      </c>
      <c r="C25" s="14" t="n">
        <v>8.795</v>
      </c>
      <c r="D25" s="14" t="n">
        <v>1.312</v>
      </c>
      <c r="E25" s="15">
        <f>MAX(0, C25-D25)</f>
        <v/>
      </c>
      <c r="F25" s="16" t="n">
        <v>1</v>
      </c>
      <c r="G25" s="17">
        <f>E25*F25</f>
        <v/>
      </c>
    </row>
    <row r="26" ht="18" customHeight="1">
      <c r="A26" s="5" t="inlineStr">
        <is>
          <t>1000 B.L.</t>
        </is>
      </c>
      <c r="B26" s="13" t="n">
        <v>1</v>
      </c>
      <c r="C26" s="14" t="n">
        <v>8.252000000000001</v>
      </c>
      <c r="D26" s="14" t="n">
        <v>1.846</v>
      </c>
      <c r="E26" s="15">
        <f>MAX(0, C26-D26)</f>
        <v/>
      </c>
      <c r="F26" s="16" t="n">
        <v>4</v>
      </c>
      <c r="G26" s="17">
        <f>E26*F26</f>
        <v/>
      </c>
    </row>
    <row r="27" ht="18" customHeight="1">
      <c r="A27" s="5" t="inlineStr">
        <is>
          <t>2000 B.L.</t>
        </is>
      </c>
      <c r="B27" s="13" t="n">
        <v>2</v>
      </c>
      <c r="C27" s="14" t="n">
        <v>7.173</v>
      </c>
      <c r="D27" s="14" t="n">
        <v>2.988</v>
      </c>
      <c r="E27" s="15">
        <f>MAX(0, C27-D27)</f>
        <v/>
      </c>
      <c r="F27" s="16" t="n">
        <v>1</v>
      </c>
      <c r="G27" s="17">
        <f>E27*F27</f>
        <v/>
      </c>
    </row>
    <row r="28" ht="18" customHeight="1">
      <c r="A28" s="18" t="inlineStr">
        <is>
          <t>Sum of Products</t>
        </is>
      </c>
      <c r="B28" s="19" t="n"/>
      <c r="C28" s="19" t="n"/>
      <c r="D28" s="19" t="n"/>
      <c r="E28" s="19" t="n"/>
      <c r="F28" s="19" t="n"/>
      <c r="G28" s="20">
        <f>SUM(G25:G27)</f>
        <v/>
      </c>
    </row>
    <row r="29" ht="18" customHeight="1">
      <c r="A29" s="5" t="inlineStr">
        <is>
          <t>Half Station Area: (dy / 3) * Sum</t>
        </is>
      </c>
      <c r="B29" s="7" t="n"/>
      <c r="C29" s="7" t="n"/>
      <c r="D29" s="7" t="n"/>
      <c r="E29" s="7" t="n"/>
      <c r="F29" s="7" t="n"/>
      <c r="G29" s="21">
        <f>$C$11*G28</f>
        <v/>
      </c>
    </row>
    <row r="30" ht="20" customHeight="1">
      <c r="A30" s="10" t="inlineStr">
        <is>
          <t>Total Station Area: 2 * Half Area</t>
        </is>
      </c>
      <c r="B30" s="11" t="n"/>
      <c r="C30" s="11" t="n"/>
      <c r="D30" s="11" t="n"/>
      <c r="E30" s="11" t="n"/>
      <c r="F30" s="11" t="n"/>
      <c r="G30" s="22">
        <f>2*G29</f>
        <v/>
      </c>
    </row>
    <row r="32" ht="20" customHeight="1">
      <c r="A32" s="10" t="inlineStr">
        <is>
          <t>Station B Transverse Area Calculation</t>
        </is>
      </c>
      <c r="B32" s="11" t="n"/>
      <c r="C32" s="11" t="n"/>
      <c r="D32" s="11" t="n"/>
      <c r="E32" s="11" t="n"/>
      <c r="F32" s="11" t="n"/>
      <c r="G32" s="11" t="n"/>
    </row>
    <row r="33" ht="19" customHeight="1">
      <c r="A33" s="12" t="inlineStr">
        <is>
          <t>Buttock Line</t>
        </is>
      </c>
      <c r="B33" s="12" t="inlineStr">
        <is>
          <t>Half-Breadth Y (m)</t>
        </is>
      </c>
      <c r="C33" s="12" t="inlineStr">
        <is>
          <t>Upper Z (m)</t>
        </is>
      </c>
      <c r="D33" s="12" t="inlineStr">
        <is>
          <t>Lower Z (m)</t>
        </is>
      </c>
      <c r="E33" s="12" t="inlineStr">
        <is>
          <t>Depth D (m)</t>
        </is>
      </c>
      <c r="F33" s="12" t="inlineStr">
        <is>
          <t>Factor</t>
        </is>
      </c>
      <c r="G33" s="12" t="inlineStr">
        <is>
          <t>Product (D x M)</t>
        </is>
      </c>
    </row>
    <row r="34" ht="18" customHeight="1">
      <c r="A34" s="5" t="inlineStr">
        <is>
          <t>Centerline (C.L.)</t>
        </is>
      </c>
      <c r="B34" s="13" t="n">
        <v>0</v>
      </c>
      <c r="C34" s="14" t="n">
        <v>8.132999999999999</v>
      </c>
      <c r="D34" s="14" t="n">
        <v>2.224</v>
      </c>
      <c r="E34" s="15">
        <f>MAX(0, C34-D34)</f>
        <v/>
      </c>
      <c r="F34" s="16" t="n">
        <v>1</v>
      </c>
      <c r="G34" s="17">
        <f>E34*F34</f>
        <v/>
      </c>
    </row>
    <row r="35" ht="18" customHeight="1">
      <c r="A35" s="5" t="inlineStr">
        <is>
          <t>1000 B.L.</t>
        </is>
      </c>
      <c r="B35" s="13" t="n">
        <v>1</v>
      </c>
      <c r="C35" s="14" t="n">
        <v>7.148</v>
      </c>
      <c r="D35" s="14" t="n">
        <v>3.201</v>
      </c>
      <c r="E35" s="15">
        <f>MAX(0, C35-D35)</f>
        <v/>
      </c>
      <c r="F35" s="16" t="n">
        <v>4</v>
      </c>
      <c r="G35" s="17">
        <f>E35*F35</f>
        <v/>
      </c>
    </row>
    <row r="36" ht="18" customHeight="1">
      <c r="A36" s="5" t="inlineStr">
        <is>
          <t>2000 B.L.</t>
        </is>
      </c>
      <c r="B36" s="13" t="n">
        <v>2</v>
      </c>
      <c r="C36" s="14" t="n">
        <v>0</v>
      </c>
      <c r="D36" s="14" t="n">
        <v>0</v>
      </c>
      <c r="E36" s="15">
        <f>MAX(0, C36-D36)</f>
        <v/>
      </c>
      <c r="F36" s="16" t="n">
        <v>1</v>
      </c>
      <c r="G36" s="17">
        <f>E36*F36</f>
        <v/>
      </c>
    </row>
    <row r="37" ht="18" customHeight="1">
      <c r="A37" s="18" t="inlineStr">
        <is>
          <t>Sum of Products</t>
        </is>
      </c>
      <c r="B37" s="19" t="n"/>
      <c r="C37" s="19" t="n"/>
      <c r="D37" s="19" t="n"/>
      <c r="E37" s="19" t="n"/>
      <c r="F37" s="19" t="n"/>
      <c r="G37" s="20">
        <f>SUM(G34:G36)</f>
        <v/>
      </c>
    </row>
    <row r="38" ht="18" customHeight="1">
      <c r="A38" s="5" t="inlineStr">
        <is>
          <t>Half Station Area: (dy / 3) * Sum</t>
        </is>
      </c>
      <c r="B38" s="7" t="n"/>
      <c r="C38" s="7" t="n"/>
      <c r="D38" s="7" t="n"/>
      <c r="E38" s="7" t="n"/>
      <c r="F38" s="7" t="n"/>
      <c r="G38" s="21">
        <f>$C$11*G37</f>
        <v/>
      </c>
    </row>
    <row r="39" ht="20" customHeight="1">
      <c r="A39" s="10" t="inlineStr">
        <is>
          <t>Total Station Area: 2 * Half Area</t>
        </is>
      </c>
      <c r="B39" s="11" t="n"/>
      <c r="C39" s="11" t="n"/>
      <c r="D39" s="11" t="n"/>
      <c r="E39" s="11" t="n"/>
      <c r="F39" s="11" t="n"/>
      <c r="G39" s="22">
        <f>2*G38</f>
        <v/>
      </c>
    </row>
    <row r="41" ht="20" customHeight="1">
      <c r="A41" s="10" t="inlineStr">
        <is>
          <t>Bulbous Bow Volume and Tonnage Calculation</t>
        </is>
      </c>
      <c r="B41" s="11" t="n"/>
      <c r="C41" s="11" t="n"/>
      <c r="D41" s="11" t="n"/>
      <c r="E41" s="11" t="n"/>
      <c r="F41" s="11" t="n"/>
      <c r="G41" s="11" t="n"/>
    </row>
    <row r="42" ht="19" customHeight="1">
      <c r="A42" s="12" t="inlineStr">
        <is>
          <t>Station</t>
        </is>
      </c>
      <c r="B42" s="12" t="inlineStr">
        <is>
          <t>Position X (m)</t>
        </is>
      </c>
      <c r="C42" s="12" t="inlineStr">
        <is>
          <t>Transverse Area (m2)</t>
        </is>
      </c>
      <c r="D42" s="12" t="inlineStr">
        <is>
          <t>Factor</t>
        </is>
      </c>
      <c r="E42" s="12" t="inlineStr">
        <is>
          <t>Product (A x M)</t>
        </is>
      </c>
      <c r="F42" s="12" t="inlineStr">
        <is>
          <t>Remarks</t>
        </is>
      </c>
      <c r="G42" s="23" t="n"/>
    </row>
    <row r="43" ht="18" customHeight="1">
      <c r="A43" s="5" t="inlineStr">
        <is>
          <t>Station 20</t>
        </is>
      </c>
      <c r="B43" s="13" t="n">
        <v>0</v>
      </c>
      <c r="C43" s="21">
        <f>G21</f>
        <v/>
      </c>
      <c r="D43" s="16" t="n">
        <v>1</v>
      </c>
      <c r="E43" s="21">
        <f>C43*D43</f>
        <v/>
      </c>
      <c r="F43" s="24" t="inlineStr">
        <is>
          <t>Forward Perpendicular (FP)</t>
        </is>
      </c>
      <c r="G43" s="7" t="n"/>
    </row>
    <row r="44" ht="18" customHeight="1">
      <c r="A44" s="5" t="inlineStr">
        <is>
          <t>Station A</t>
        </is>
      </c>
      <c r="B44" s="13" t="n">
        <v>1.5</v>
      </c>
      <c r="C44" s="21">
        <f>G30</f>
        <v/>
      </c>
      <c r="D44" s="16" t="n">
        <v>4</v>
      </c>
      <c r="E44" s="21">
        <f>C44*D44</f>
        <v/>
      </c>
      <c r="F44" s="24" t="inlineStr">
        <is>
          <t>Intermediate Bulb Station</t>
        </is>
      </c>
      <c r="G44" s="7" t="n"/>
    </row>
    <row r="45" ht="18" customHeight="1">
      <c r="A45" s="5" t="inlineStr">
        <is>
          <t>Station B</t>
        </is>
      </c>
      <c r="B45" s="13" t="n">
        <v>3</v>
      </c>
      <c r="C45" s="21">
        <f>G39</f>
        <v/>
      </c>
      <c r="D45" s="16" t="n">
        <v>1</v>
      </c>
      <c r="E45" s="21">
        <f>C45*D45</f>
        <v/>
      </c>
      <c r="F45" s="24" t="inlineStr">
        <is>
          <t>Fore Bulb Station</t>
        </is>
      </c>
      <c r="G45" s="7" t="n"/>
    </row>
    <row r="46" ht="18" customHeight="1">
      <c r="A46" s="18" t="inlineStr">
        <is>
          <t>Sum of Products: Station 20 to Station B</t>
        </is>
      </c>
      <c r="B46" s="19" t="n"/>
      <c r="C46" s="19" t="n"/>
      <c r="D46" s="19" t="n"/>
      <c r="E46" s="20">
        <f>SUM(E43:E45)</f>
        <v/>
      </c>
      <c r="F46" s="19" t="n"/>
      <c r="G46" s="19" t="n"/>
    </row>
    <row r="47" ht="18" customHeight="1">
      <c r="A47" s="5" t="inlineStr">
        <is>
          <t>Main Bulb Body Volume: (dx / 3) * Sum</t>
        </is>
      </c>
      <c r="B47" s="7" t="n"/>
      <c r="C47" s="7" t="n"/>
      <c r="D47" s="7" t="n"/>
      <c r="E47" s="21">
        <f>$C$8*E46</f>
        <v/>
      </c>
      <c r="F47" s="25" t="n"/>
      <c r="G47" s="25" t="n"/>
    </row>
    <row r="48" ht="18" customHeight="1">
      <c r="A48" s="5" t="inlineStr">
        <is>
          <t>Forward Nose Cap Volume: Station B to Fore Tip (1/3 * Area_B * L_nose)</t>
        </is>
      </c>
      <c r="B48" s="7" t="n"/>
      <c r="C48" s="7" t="n"/>
      <c r="D48" s="7" t="n"/>
      <c r="E48" s="21">
        <f>(1/3)*C45*$C$9</f>
        <v/>
      </c>
      <c r="F48" s="25" t="n"/>
      <c r="G48" s="25" t="n"/>
    </row>
    <row r="49" ht="19" customHeight="1">
      <c r="A49" s="26" t="inlineStr">
        <is>
          <t>Total Bulbous Bow Volume: Main Body + Nose Cap (m3)</t>
        </is>
      </c>
      <c r="B49" s="27" t="n"/>
      <c r="C49" s="27" t="n"/>
      <c r="D49" s="27" t="n"/>
      <c r="E49" s="21">
        <f>E47+E48</f>
        <v/>
      </c>
      <c r="F49" s="25" t="n"/>
      <c r="G49" s="25" t="n"/>
    </row>
    <row r="50" ht="22" customHeight="1">
      <c r="A50" s="10" t="inlineStr">
        <is>
          <t>Bulbous Bow Suez Moorsom Tonnage: Total Volume / 2.83</t>
        </is>
      </c>
      <c r="B50" s="11" t="n"/>
      <c r="C50" s="11" t="n"/>
      <c r="D50" s="11" t="n"/>
      <c r="E50" s="28">
        <f>E49/$C$12</f>
        <v/>
      </c>
      <c r="F50" s="29" t="n"/>
      <c r="G50" s="29" t="n"/>
    </row>
  </sheetData>
  <mergeCells count="45">
    <mergeCell ref="A32:G32"/>
    <mergeCell ref="A14:G14"/>
    <mergeCell ref="D9:G9"/>
    <mergeCell ref="D12:G12"/>
    <mergeCell ref="D8:G8"/>
    <mergeCell ref="A11:B11"/>
    <mergeCell ref="A37:F37"/>
    <mergeCell ref="A21:F21"/>
    <mergeCell ref="A6:B6"/>
    <mergeCell ref="E46:G46"/>
    <mergeCell ref="A7:B7"/>
    <mergeCell ref="E49:G49"/>
    <mergeCell ref="A48:D48"/>
    <mergeCell ref="F45:G45"/>
    <mergeCell ref="F42:G42"/>
    <mergeCell ref="A49:D49"/>
    <mergeCell ref="D10:G10"/>
    <mergeCell ref="A20:F20"/>
    <mergeCell ref="A29:F29"/>
    <mergeCell ref="A12:B12"/>
    <mergeCell ref="A38:F38"/>
    <mergeCell ref="A1:G1"/>
    <mergeCell ref="A28:F28"/>
    <mergeCell ref="A19:F19"/>
    <mergeCell ref="D6:G6"/>
    <mergeCell ref="E47:G47"/>
    <mergeCell ref="E50:G50"/>
    <mergeCell ref="D11:G11"/>
    <mergeCell ref="A30:F30"/>
    <mergeCell ref="A8:B8"/>
    <mergeCell ref="A39:F39"/>
    <mergeCell ref="A41:G41"/>
    <mergeCell ref="A46:D46"/>
    <mergeCell ref="F43:G43"/>
    <mergeCell ref="A3:G3"/>
    <mergeCell ref="A50:D50"/>
    <mergeCell ref="A10:B10"/>
    <mergeCell ref="D7:G7"/>
    <mergeCell ref="E48:G48"/>
    <mergeCell ref="A2:G2"/>
    <mergeCell ref="F44:G44"/>
    <mergeCell ref="A9:B9"/>
    <mergeCell ref="A47:D47"/>
    <mergeCell ref="A5:G5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2026-10-02T10:38:27Z</dcterms:created>
  <dcterms:modified xmlns:dcterms="http://purl.org/dc/terms/" xmlns:xsi="http://www.w3.org/2001/XMLSchema-instance" xsi:type="dcterms:W3CDTF">2026-10-02T10:38:27Z</dcterms:modified>
</cp:coreProperties>
</file>