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le_Tonn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"/>
    <numFmt numFmtId="167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555555"/>
      <sz val="8"/>
    </font>
    <font>
      <name val="Calibri"/>
      <b val="1"/>
      <color rgb="001B365D"/>
      <sz val="10"/>
    </font>
    <font>
      <name val="Calibri"/>
      <b val="1"/>
      <sz val="9"/>
    </font>
    <font>
      <name val="Calibri"/>
      <b val="1"/>
      <color rgb="00FFFFFF"/>
      <sz val="11"/>
    </font>
    <font>
      <name val="Calibri"/>
      <sz val="9"/>
    </font>
    <font>
      <name val="Calibri"/>
      <b val="1"/>
      <sz val="10"/>
    </font>
    <font>
      <name val="Calibri"/>
      <b val="1"/>
      <color rgb="00B71C1C"/>
      <sz val="11"/>
    </font>
    <font>
      <name val="Calibri"/>
      <b val="1"/>
      <color rgb="00B71C1C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F5F5F5"/>
      </patternFill>
    </fill>
    <fill>
      <patternFill patternType="solid">
        <fgColor rgb="00D0E1F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455A64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FFE0B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right" vertical="center"/>
    </xf>
    <xf numFmtId="167" fontId="8" fillId="1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0" fontId="9" fillId="11" borderId="2" applyAlignment="1" pivotButton="0" quotePrefix="0" xfId="0">
      <alignment horizontal="right" vertical="center"/>
    </xf>
    <xf numFmtId="4" fontId="9" fillId="11" borderId="2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165" fontId="7" fillId="7" borderId="1" applyAlignment="1" pivotButton="0" quotePrefix="0" xfId="0">
      <alignment horizontal="right" vertical="center"/>
    </xf>
    <xf numFmtId="167" fontId="5" fillId="9" borderId="1" applyAlignment="1" pivotButton="0" quotePrefix="0" xfId="0">
      <alignment horizontal="right" vertical="center"/>
    </xf>
    <xf numFmtId="4" fontId="5" fillId="9" borderId="1" applyAlignment="1" pivotButton="0" quotePrefix="0" xfId="0">
      <alignment horizontal="right" vertical="center"/>
    </xf>
    <xf numFmtId="0" fontId="10" fillId="11" borderId="2" applyAlignment="1" pivotButton="0" quotePrefix="0" xfId="0">
      <alignment horizontal="right" vertical="center"/>
    </xf>
    <xf numFmtId="167" fontId="10" fillId="11" borderId="2" applyAlignment="1" pivotButton="0" quotePrefix="0" xfId="0">
      <alignment horizontal="right" vertical="center"/>
    </xf>
    <xf numFmtId="0" fontId="3" fillId="11" borderId="2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6" customWidth="1" min="4" max="4"/>
    <col width="20" customWidth="1" min="5" max="5"/>
    <col width="20" customWidth="1" min="6" max="6"/>
    <col width="16" customWidth="1" min="7" max="7"/>
    <col width="20" customWidth="1" min="8" max="8"/>
    <col width="16" customWidth="1" min="9" max="9"/>
    <col width="22" customWidth="1" min="10" max="10"/>
  </cols>
  <sheetData>
    <row r="1" ht="28" customHeight="1">
      <c r="A1" s="1" t="inlineStr">
        <is>
          <t>SUEZ CANAL TONNAGE - FORECASTLE DECK CALCULATION TABLE</t>
        </is>
      </c>
    </row>
    <row r="2" ht="18" customHeight="1">
      <c r="A2" s="2" t="inlineStr">
        <is>
          <t>Vessel: M/V TERVEL | Lbp = 186.10 m | B = 32.26 m | D = 17.80 m | Statutory Moorsom Tonnage (V / 2.83)</t>
        </is>
      </c>
    </row>
    <row r="3" ht="18" customHeight="1">
      <c r="A3" s="3" t="inlineStr">
        <is>
          <t>Procedure: Full Breadth B = 2 x Half-Breadth (m) | Sectional Area A = B x Height H | Simpson Longitudinal Integration along Forecastle Length</t>
        </is>
      </c>
    </row>
    <row r="5" ht="20" customHeight="1">
      <c r="A5" s="4" t="inlineStr">
        <is>
          <t>1. FORECASTLE IMPORTED PARAMETERS &amp; INTEGRATION SETUP</t>
        </is>
      </c>
    </row>
    <row r="6" ht="19" customHeight="1">
      <c r="A6" s="5" t="inlineStr">
        <is>
          <t>Imported Forecastle Height H (m):</t>
        </is>
      </c>
      <c r="B6" s="5" t="n"/>
      <c r="C6" s="6" t="n">
        <v>2.7</v>
      </c>
      <c r="D6" s="7" t="inlineStr">
        <is>
          <t>Imported / user-specified Forecastle Height (applied across sections)</t>
        </is>
      </c>
      <c r="E6" s="7" t="n"/>
      <c r="F6" s="7" t="n"/>
      <c r="G6" s="7" t="n"/>
      <c r="H6" s="7" t="n"/>
      <c r="I6" s="7" t="n"/>
      <c r="J6" s="7" t="n"/>
    </row>
    <row r="7" ht="19" customHeight="1">
      <c r="A7" s="5" t="inlineStr">
        <is>
          <t>Standard Common Interval dx (m):</t>
        </is>
      </c>
      <c r="B7" s="5" t="n"/>
      <c r="C7" s="8" t="n">
        <v>9.305</v>
      </c>
      <c r="D7" s="7" t="inlineStr">
        <is>
          <t>Station spacing = Lbp / 20 = 9.305 m</t>
        </is>
      </c>
      <c r="E7" s="7" t="n"/>
      <c r="F7" s="7" t="n"/>
      <c r="G7" s="7" t="n"/>
      <c r="H7" s="7" t="n"/>
      <c r="I7" s="7" t="n"/>
      <c r="J7" s="7" t="n"/>
    </row>
    <row r="8" ht="19" customHeight="1">
      <c r="A8" s="5" t="inlineStr">
        <is>
          <t>Half-Station Interval dx / 2 (m):</t>
        </is>
      </c>
      <c r="B8" s="5" t="n"/>
      <c r="C8" s="9" t="n">
        <v>4.6525</v>
      </c>
      <c r="D8" s="7" t="inlineStr">
        <is>
          <t>Half station spacing between St. 18, 18.5, 19, 19.5, 20</t>
        </is>
      </c>
      <c r="E8" s="7" t="n"/>
      <c r="F8" s="7" t="n"/>
      <c r="G8" s="7" t="n"/>
      <c r="H8" s="7" t="n"/>
      <c r="I8" s="7" t="n"/>
      <c r="J8" s="7" t="n"/>
    </row>
    <row r="9" ht="19" customHeight="1">
      <c r="A9" s="5" t="inlineStr">
        <is>
          <t>Forecastle Extent:</t>
        </is>
      </c>
      <c r="B9" s="5" t="n"/>
      <c r="C9" s="10" t="inlineStr">
        <is>
          <t>St. 18 to St. A (Overhang)</t>
        </is>
      </c>
      <c r="D9" s="7" t="inlineStr">
        <is>
          <t>Includes all stations possessing Forecastle Deck values</t>
        </is>
      </c>
      <c r="E9" s="7" t="n"/>
      <c r="F9" s="7" t="n"/>
      <c r="G9" s="7" t="n"/>
      <c r="H9" s="7" t="n"/>
      <c r="I9" s="7" t="n"/>
      <c r="J9" s="7" t="n"/>
    </row>
    <row r="10" ht="19" customHeight="1">
      <c r="A10" s="5" t="inlineStr">
        <is>
          <t>Suez Canal Tonnage Divisor:</t>
        </is>
      </c>
      <c r="B10" s="5" t="n"/>
      <c r="C10" s="11" t="n">
        <v>2.83</v>
      </c>
      <c r="D10" s="7" t="inlineStr">
        <is>
          <t>SCA Moorsom Tonnage divisor: 2.83 m3 / Ton</t>
        </is>
      </c>
      <c r="E10" s="7" t="n"/>
      <c r="F10" s="7" t="n"/>
      <c r="G10" s="7" t="n"/>
      <c r="H10" s="7" t="n"/>
      <c r="I10" s="7" t="n"/>
      <c r="J10" s="7" t="n"/>
    </row>
    <row r="12" ht="22" customHeight="1">
      <c r="A12" s="12" t="inlineStr">
        <is>
          <t>2. FORECASTLE DECK CALCULATION TABLE (ALL STATIONS IN METERS)</t>
        </is>
      </c>
    </row>
    <row r="13" ht="26" customHeight="1">
      <c r="A13" s="13" t="inlineStr">
        <is>
          <t>No.</t>
        </is>
      </c>
      <c r="B13" s="13" t="inlineStr">
        <is>
          <t>Station</t>
        </is>
      </c>
      <c r="C13" s="13" t="inlineStr">
        <is>
          <t>Station Type</t>
        </is>
      </c>
      <c r="D13" s="13" t="inlineStr">
        <is>
          <t>Position X (m)</t>
        </is>
      </c>
      <c r="E13" s="13" t="inlineStr">
        <is>
          <t>Half-Breadth y (m)</t>
        </is>
      </c>
      <c r="F13" s="13" t="inlineStr">
        <is>
          <t>Full Breadth B (m)</t>
        </is>
      </c>
      <c r="G13" s="13" t="inlineStr">
        <is>
          <t>Height H (m)</t>
        </is>
      </c>
      <c r="H13" s="13" t="inlineStr">
        <is>
          <t>Section Area A (m2)</t>
        </is>
      </c>
      <c r="I13" s="13" t="inlineStr">
        <is>
          <t>Simpson Factor</t>
        </is>
      </c>
      <c r="J13" s="13" t="inlineStr">
        <is>
          <t>Product (A x Factor)</t>
        </is>
      </c>
    </row>
    <row r="14" ht="20" customHeight="1">
      <c r="A14" s="14" t="n">
        <v>1</v>
      </c>
      <c r="B14" s="15" t="inlineStr">
        <is>
          <t>Station 17</t>
        </is>
      </c>
      <c r="C14" s="14" t="inlineStr">
        <is>
          <t>Aft Boundary</t>
        </is>
      </c>
      <c r="D14" s="16" t="n">
        <v>158.185</v>
      </c>
      <c r="E14" s="16" t="n">
        <v>16.13</v>
      </c>
      <c r="F14" s="17">
        <f>2*E14</f>
        <v/>
      </c>
      <c r="G14" s="18">
        <f>$C$6</f>
        <v/>
      </c>
      <c r="H14" s="17">
        <f>F14*G14</f>
        <v/>
      </c>
      <c r="I14" s="19" t="n">
        <v>0</v>
      </c>
      <c r="J14" s="17">
        <f>H14*I14</f>
        <v/>
      </c>
    </row>
    <row r="15" ht="20" customHeight="1">
      <c r="A15" s="14" t="n">
        <v>2</v>
      </c>
      <c r="B15" s="15" t="inlineStr">
        <is>
          <t>Station 18</t>
        </is>
      </c>
      <c r="C15" s="14" t="inlineStr">
        <is>
          <t>Full Station</t>
        </is>
      </c>
      <c r="D15" s="16" t="n">
        <v>167.49</v>
      </c>
      <c r="E15" s="16" t="n">
        <v>16.13</v>
      </c>
      <c r="F15" s="17">
        <f>2*E15</f>
        <v/>
      </c>
      <c r="G15" s="18">
        <f>$C$6</f>
        <v/>
      </c>
      <c r="H15" s="17">
        <f>F15*G15</f>
        <v/>
      </c>
      <c r="I15" s="19" t="n">
        <v>0.5</v>
      </c>
      <c r="J15" s="17">
        <f>H15*I15</f>
        <v/>
      </c>
    </row>
    <row r="16" ht="20" customHeight="1">
      <c r="A16" s="14" t="n">
        <v>3</v>
      </c>
      <c r="B16" s="15" t="inlineStr">
        <is>
          <t>Station 18.5</t>
        </is>
      </c>
      <c r="C16" s="14" t="inlineStr">
        <is>
          <t>Half Station</t>
        </is>
      </c>
      <c r="D16" s="16" t="n">
        <v>172.143</v>
      </c>
      <c r="E16" s="16" t="n">
        <v>14.578</v>
      </c>
      <c r="F16" s="17">
        <f>2*E16</f>
        <v/>
      </c>
      <c r="G16" s="18">
        <f>$C$6</f>
        <v/>
      </c>
      <c r="H16" s="17">
        <f>F16*G16</f>
        <v/>
      </c>
      <c r="I16" s="19" t="n">
        <v>2</v>
      </c>
      <c r="J16" s="17">
        <f>H16*I16</f>
        <v/>
      </c>
    </row>
    <row r="17" ht="20" customHeight="1">
      <c r="A17" s="14" t="n">
        <v>4</v>
      </c>
      <c r="B17" s="15" t="inlineStr">
        <is>
          <t>Station 19</t>
        </is>
      </c>
      <c r="C17" s="14" t="inlineStr">
        <is>
          <t>Full Station</t>
        </is>
      </c>
      <c r="D17" s="16" t="n">
        <v>176.795</v>
      </c>
      <c r="E17" s="16" t="n">
        <v>12.996</v>
      </c>
      <c r="F17" s="17">
        <f>2*E17</f>
        <v/>
      </c>
      <c r="G17" s="18">
        <f>$C$6</f>
        <v/>
      </c>
      <c r="H17" s="17">
        <f>F17*G17</f>
        <v/>
      </c>
      <c r="I17" s="19" t="n">
        <v>1</v>
      </c>
      <c r="J17" s="17">
        <f>H17*I17</f>
        <v/>
      </c>
    </row>
    <row r="18" ht="20" customHeight="1">
      <c r="A18" s="14" t="n">
        <v>5</v>
      </c>
      <c r="B18" s="15" t="inlineStr">
        <is>
          <t>Station 19.5</t>
        </is>
      </c>
      <c r="C18" s="14" t="inlineStr">
        <is>
          <t>Half Station</t>
        </is>
      </c>
      <c r="D18" s="16" t="n">
        <v>181.448</v>
      </c>
      <c r="E18" s="16" t="n">
        <v>12.963</v>
      </c>
      <c r="F18" s="17">
        <f>2*E18</f>
        <v/>
      </c>
      <c r="G18" s="18">
        <f>$C$6</f>
        <v/>
      </c>
      <c r="H18" s="17">
        <f>F18*G18</f>
        <v/>
      </c>
      <c r="I18" s="19" t="n">
        <v>2</v>
      </c>
      <c r="J18" s="17">
        <f>H18*I18</f>
        <v/>
      </c>
    </row>
    <row r="19" ht="20" customHeight="1">
      <c r="A19" s="14" t="n">
        <v>6</v>
      </c>
      <c r="B19" s="15" t="inlineStr">
        <is>
          <t>Station 20</t>
        </is>
      </c>
      <c r="C19" s="14" t="inlineStr">
        <is>
          <t>FP Station</t>
        </is>
      </c>
      <c r="D19" s="16" t="n">
        <v>186.1</v>
      </c>
      <c r="E19" s="16" t="n">
        <v>9.647</v>
      </c>
      <c r="F19" s="17">
        <f>2*E19</f>
        <v/>
      </c>
      <c r="G19" s="18">
        <f>$C$6</f>
        <v/>
      </c>
      <c r="H19" s="17">
        <f>F19*G19</f>
        <v/>
      </c>
      <c r="I19" s="19" t="n">
        <v>0.5</v>
      </c>
      <c r="J19" s="17">
        <f>H19*I19</f>
        <v/>
      </c>
    </row>
    <row r="20" ht="20" customHeight="1">
      <c r="A20" s="14" t="n">
        <v>7</v>
      </c>
      <c r="B20" s="15" t="inlineStr">
        <is>
          <t>Station A</t>
        </is>
      </c>
      <c r="C20" s="14" t="inlineStr">
        <is>
          <t>Stem Overhang</t>
        </is>
      </c>
      <c r="D20" s="16" t="n">
        <v>187.6</v>
      </c>
      <c r="E20" s="16" t="n">
        <v>9.404</v>
      </c>
      <c r="F20" s="17">
        <f>2*E20</f>
        <v/>
      </c>
      <c r="G20" s="18">
        <f>$C$6</f>
        <v/>
      </c>
      <c r="H20" s="17">
        <f>F20*G20</f>
        <v/>
      </c>
      <c r="I20" s="20" t="n">
        <v>0.2418</v>
      </c>
      <c r="J20" s="17">
        <f>H20*I20</f>
        <v/>
      </c>
    </row>
    <row r="21" ht="20" customHeight="1">
      <c r="A21" s="14" t="n">
        <v>8</v>
      </c>
      <c r="B21" s="15" t="inlineStr">
        <is>
          <t>Station B</t>
        </is>
      </c>
      <c r="C21" s="14" t="inlineStr">
        <is>
          <t>Foremost Apex</t>
        </is>
      </c>
      <c r="D21" s="16" t="n">
        <v>189.1</v>
      </c>
      <c r="E21" s="16" t="n">
        <v>0</v>
      </c>
      <c r="F21" s="17">
        <f>2*E21</f>
        <v/>
      </c>
      <c r="G21" s="18">
        <f>$C$6</f>
        <v/>
      </c>
      <c r="H21" s="17">
        <f>F21*G21</f>
        <v/>
      </c>
      <c r="I21" s="19" t="n">
        <v>0</v>
      </c>
      <c r="J21" s="17">
        <f>H21*I21</f>
        <v/>
      </c>
    </row>
    <row r="22" ht="21" customHeight="1">
      <c r="A22" s="21" t="inlineStr">
        <is>
          <t>SUM OF PRODUCTS (SUM) [ST. 18 TO ST. A]: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2">
        <f>SUM(J14:J21)</f>
        <v/>
      </c>
    </row>
    <row r="23" ht="20" customHeight="1">
      <c r="A23" s="23" t="inlineStr">
        <is>
          <t>1/3 STANDARD COMMON INTERVAL (dx / 3):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4">
        <f>C7/3</f>
        <v/>
      </c>
    </row>
    <row r="24" ht="22" customHeight="1">
      <c r="A24" s="25" t="inlineStr">
        <is>
          <t>FORECASTLE ENCLOSED VOLUME (m3) = (dx / 3) * SUM: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6">
        <f>J23*J22</f>
        <v/>
      </c>
    </row>
    <row r="25" ht="26" customHeight="1">
      <c r="A25" s="27" t="inlineStr">
        <is>
          <t>FORECASTLE SUEZ MOORSOM TONNAGE (TONS) = Volume / 2.83: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8">
        <f>J24/C10</f>
        <v/>
      </c>
    </row>
    <row r="27" ht="20" customHeight="1">
      <c r="A27" s="4" t="inlineStr">
        <is>
          <t>3. STEP-BY-STEP SUB-INTERVAL BREAKDOWN (DETAILED VERIFICATION)</t>
        </is>
      </c>
    </row>
    <row r="28" ht="24" customHeight="1">
      <c r="A28" s="13" t="inlineStr">
        <is>
          <t>Sub-Section</t>
        </is>
      </c>
      <c r="B28" s="13" t="inlineStr">
        <is>
          <t>Station Range</t>
        </is>
      </c>
      <c r="C28" s="13" t="inlineStr">
        <is>
          <t>Stations Included</t>
        </is>
      </c>
      <c r="D28" s="13" t="inlineStr">
        <is>
          <t>Interval Spacing h (m)</t>
        </is>
      </c>
      <c r="E28" s="13" t="inlineStr">
        <is>
          <t>Integration Formula</t>
        </is>
      </c>
      <c r="F28" s="13" t="inlineStr">
        <is>
          <t>Sub-Volume (m3)</t>
        </is>
      </c>
      <c r="G28" s="13" t="inlineStr">
        <is>
          <t>Suez Tonnage (Tons)</t>
        </is>
      </c>
      <c r="H28" s="13" t="inlineStr">
        <is>
          <t>Remarks / Notes</t>
        </is>
      </c>
    </row>
    <row r="29" ht="20" customHeight="1">
      <c r="A29" s="29" t="inlineStr">
        <is>
          <t>Forecastle Body</t>
        </is>
      </c>
      <c r="B29" s="14" t="inlineStr">
        <is>
          <t>St. 18 to St. 20</t>
        </is>
      </c>
      <c r="C29" s="30" t="inlineStr">
        <is>
          <t>St. 18, 18.5, 19, 19.5, 20</t>
        </is>
      </c>
      <c r="D29" s="31" t="n">
        <v>4.6525</v>
      </c>
      <c r="E29" s="7" t="inlineStr">
        <is>
          <t>(h/3) * (A18 + 4*A18.5 + 2*A19 + 4*A19.5 + A20)</t>
        </is>
      </c>
      <c r="F29" s="32">
        <f>(C8/3)*(H15*1 + H16*4 + H17*2 + H18*4 + H19*1)</f>
        <v/>
      </c>
      <c r="G29" s="33">
        <f>F29/C10</f>
        <v/>
      </c>
      <c r="H29" s="7" t="inlineStr">
        <is>
          <t>5 ordinates Simpson 1st Rule</t>
        </is>
      </c>
    </row>
    <row r="30" ht="20" customHeight="1">
      <c r="A30" s="29" t="inlineStr">
        <is>
          <t>Stem Overhang</t>
        </is>
      </c>
      <c r="B30" s="14" t="inlineStr">
        <is>
          <t>St. 20 to St. A</t>
        </is>
      </c>
      <c r="C30" s="30" t="inlineStr">
        <is>
          <t>St. 20, St. A</t>
        </is>
      </c>
      <c r="D30" s="31" t="n">
        <v>1.5</v>
      </c>
      <c r="E30" s="7" t="inlineStr">
        <is>
          <t>(h/2) * (A20 + AA)</t>
        </is>
      </c>
      <c r="F30" s="32">
        <f>(1.5/2)*(H19 + H20)</f>
        <v/>
      </c>
      <c r="G30" s="33">
        <f>F30/C10</f>
        <v/>
      </c>
      <c r="H30" s="7" t="inlineStr">
        <is>
          <t>Trapezoidal forward overhang</t>
        </is>
      </c>
    </row>
    <row r="31" ht="20" customHeight="1">
      <c r="A31" s="29" t="inlineStr">
        <is>
          <t>Foremost Apex (Optional)</t>
        </is>
      </c>
      <c r="B31" s="14" t="inlineStr">
        <is>
          <t>St. A to St. B</t>
        </is>
      </c>
      <c r="C31" s="30" t="inlineStr">
        <is>
          <t>St. A, St. B (B=0)</t>
        </is>
      </c>
      <c r="D31" s="31" t="n">
        <v>1.5</v>
      </c>
      <c r="E31" s="7" t="inlineStr">
        <is>
          <t>(h/2) * (AA + AB)</t>
        </is>
      </c>
      <c r="F31" s="32">
        <f>(1.5/2)*(H20 + H21)</f>
        <v/>
      </c>
      <c r="G31" s="33">
        <f>F31/C10</f>
        <v/>
      </c>
      <c r="H31" s="7" t="inlineStr">
        <is>
          <t>Foremost apex tip to St. B (B=0)</t>
        </is>
      </c>
    </row>
    <row r="32" ht="24" customHeight="1">
      <c r="A32" s="34" t="inlineStr">
        <is>
          <t>TOTAL FORECASTLE (BODY + OVERHANG ST. 18 TO ST. A):</t>
        </is>
      </c>
      <c r="B32" s="34" t="n"/>
      <c r="C32" s="34" t="n"/>
      <c r="D32" s="34" t="n"/>
      <c r="E32" s="34" t="n"/>
      <c r="F32" s="35">
        <f>F29+F30</f>
        <v/>
      </c>
      <c r="G32" s="28">
        <f>F32/C10</f>
        <v/>
      </c>
      <c r="H32" s="36" t="inlineStr">
        <is>
          <t>Primary recommended forecastle tonnage</t>
        </is>
      </c>
      <c r="I32" s="36" t="n"/>
      <c r="J32" s="36" t="n"/>
    </row>
    <row r="34" ht="20" customHeight="1">
      <c r="A34" s="37" t="inlineStr">
        <is>
          <t>4. ALTERNATIVE: VARIABLE HEIGHT IMPORT TABLE (STATION-SPECIFIC HEIGHTS IN METERS)</t>
        </is>
      </c>
    </row>
    <row r="35" ht="24" customHeight="1">
      <c r="A35" s="38" t="inlineStr">
        <is>
          <t>No.</t>
        </is>
      </c>
      <c r="B35" s="38" t="inlineStr">
        <is>
          <t>Station</t>
        </is>
      </c>
      <c r="C35" s="38" t="inlineStr">
        <is>
          <t>Station Type</t>
        </is>
      </c>
      <c r="D35" s="38" t="inlineStr">
        <is>
          <t>Position X (m)</t>
        </is>
      </c>
      <c r="E35" s="38" t="inlineStr">
        <is>
          <t>Half-Breadth y (m)</t>
        </is>
      </c>
      <c r="F35" s="38" t="inlineStr">
        <is>
          <t>Full Breadth B (m)</t>
        </is>
      </c>
      <c r="G35" s="38" t="inlineStr">
        <is>
          <t>Imported Height H (m)</t>
        </is>
      </c>
      <c r="H35" s="38" t="inlineStr">
        <is>
          <t>Section Area A (m2)</t>
        </is>
      </c>
      <c r="I35" s="38" t="inlineStr">
        <is>
          <t>Simpson Factor</t>
        </is>
      </c>
      <c r="J35" s="38" t="inlineStr">
        <is>
          <t>Product (A x Factor)</t>
        </is>
      </c>
    </row>
    <row r="36" ht="20" customHeight="1">
      <c r="A36" s="14" t="n">
        <v>1</v>
      </c>
      <c r="B36" s="15" t="inlineStr">
        <is>
          <t>Station 17</t>
        </is>
      </c>
      <c r="C36" s="14" t="inlineStr">
        <is>
          <t>Aft Boundary</t>
        </is>
      </c>
      <c r="D36" s="16" t="n">
        <v>158.185</v>
      </c>
      <c r="E36" s="16" t="n">
        <v>16.13</v>
      </c>
      <c r="F36" s="17">
        <f>2*E36</f>
        <v/>
      </c>
      <c r="G36" s="18" t="n">
        <v>2.4</v>
      </c>
      <c r="H36" s="17">
        <f>F36*G36</f>
        <v/>
      </c>
      <c r="I36" s="19" t="n">
        <v>0</v>
      </c>
      <c r="J36" s="17">
        <f>H36*I36</f>
        <v/>
      </c>
    </row>
    <row r="37" ht="20" customHeight="1">
      <c r="A37" s="14" t="n">
        <v>2</v>
      </c>
      <c r="B37" s="15" t="inlineStr">
        <is>
          <t>Station 18</t>
        </is>
      </c>
      <c r="C37" s="14" t="inlineStr">
        <is>
          <t>Full Station</t>
        </is>
      </c>
      <c r="D37" s="16" t="n">
        <v>167.49</v>
      </c>
      <c r="E37" s="16" t="n">
        <v>16.13</v>
      </c>
      <c r="F37" s="17">
        <f>2*E37</f>
        <v/>
      </c>
      <c r="G37" s="18" t="n">
        <v>2.4</v>
      </c>
      <c r="H37" s="17">
        <f>F37*G37</f>
        <v/>
      </c>
      <c r="I37" s="19" t="n">
        <v>0.5</v>
      </c>
      <c r="J37" s="17">
        <f>H37*I37</f>
        <v/>
      </c>
    </row>
    <row r="38" ht="20" customHeight="1">
      <c r="A38" s="14" t="n">
        <v>3</v>
      </c>
      <c r="B38" s="15" t="inlineStr">
        <is>
          <t>Station 18.5</t>
        </is>
      </c>
      <c r="C38" s="14" t="inlineStr">
        <is>
          <t>Half Station</t>
        </is>
      </c>
      <c r="D38" s="16" t="n">
        <v>172.143</v>
      </c>
      <c r="E38" s="16" t="n">
        <v>14.578</v>
      </c>
      <c r="F38" s="17">
        <f>2*E38</f>
        <v/>
      </c>
      <c r="G38" s="18" t="n">
        <v>2.65</v>
      </c>
      <c r="H38" s="17">
        <f>F38*G38</f>
        <v/>
      </c>
      <c r="I38" s="19" t="n">
        <v>2</v>
      </c>
      <c r="J38" s="17">
        <f>H38*I38</f>
        <v/>
      </c>
    </row>
    <row r="39" ht="20" customHeight="1">
      <c r="A39" s="14" t="n">
        <v>4</v>
      </c>
      <c r="B39" s="15" t="inlineStr">
        <is>
          <t>Station 19</t>
        </is>
      </c>
      <c r="C39" s="14" t="inlineStr">
        <is>
          <t>Full Station</t>
        </is>
      </c>
      <c r="D39" s="16" t="n">
        <v>176.795</v>
      </c>
      <c r="E39" s="16" t="n">
        <v>12.996</v>
      </c>
      <c r="F39" s="17">
        <f>2*E39</f>
        <v/>
      </c>
      <c r="G39" s="18" t="n">
        <v>2.902</v>
      </c>
      <c r="H39" s="17">
        <f>F39*G39</f>
        <v/>
      </c>
      <c r="I39" s="19" t="n">
        <v>1</v>
      </c>
      <c r="J39" s="17">
        <f>H39*I39</f>
        <v/>
      </c>
    </row>
    <row r="40" ht="20" customHeight="1">
      <c r="A40" s="14" t="n">
        <v>5</v>
      </c>
      <c r="B40" s="15" t="inlineStr">
        <is>
          <t>Station 19.5</t>
        </is>
      </c>
      <c r="C40" s="14" t="inlineStr">
        <is>
          <t>Half Station</t>
        </is>
      </c>
      <c r="D40" s="16" t="n">
        <v>181.448</v>
      </c>
      <c r="E40" s="16" t="n">
        <v>12.963</v>
      </c>
      <c r="F40" s="17">
        <f>2*E40</f>
        <v/>
      </c>
      <c r="G40" s="18" t="n">
        <v>2.796</v>
      </c>
      <c r="H40" s="17">
        <f>F40*G40</f>
        <v/>
      </c>
      <c r="I40" s="19" t="n">
        <v>2</v>
      </c>
      <c r="J40" s="17">
        <f>H40*I40</f>
        <v/>
      </c>
    </row>
    <row r="41" ht="20" customHeight="1">
      <c r="A41" s="14" t="n">
        <v>6</v>
      </c>
      <c r="B41" s="15" t="inlineStr">
        <is>
          <t>Station 20</t>
        </is>
      </c>
      <c r="C41" s="14" t="inlineStr">
        <is>
          <t>FP Station</t>
        </is>
      </c>
      <c r="D41" s="16" t="n">
        <v>186.1</v>
      </c>
      <c r="E41" s="16" t="n">
        <v>9.647</v>
      </c>
      <c r="F41" s="17">
        <f>2*E41</f>
        <v/>
      </c>
      <c r="G41" s="18" t="n">
        <v>2.646</v>
      </c>
      <c r="H41" s="17">
        <f>F41*G41</f>
        <v/>
      </c>
      <c r="I41" s="19" t="n">
        <v>0.5</v>
      </c>
      <c r="J41" s="17">
        <f>H41*I41</f>
        <v/>
      </c>
    </row>
    <row r="42" ht="20" customHeight="1">
      <c r="A42" s="14" t="n">
        <v>7</v>
      </c>
      <c r="B42" s="15" t="inlineStr">
        <is>
          <t>Station A</t>
        </is>
      </c>
      <c r="C42" s="14" t="inlineStr">
        <is>
          <t>Stem Overhang</t>
        </is>
      </c>
      <c r="D42" s="16" t="n">
        <v>187.6</v>
      </c>
      <c r="E42" s="16" t="n">
        <v>9.404</v>
      </c>
      <c r="F42" s="17">
        <f>2*E42</f>
        <v/>
      </c>
      <c r="G42" s="18" t="n">
        <v>2.661</v>
      </c>
      <c r="H42" s="17">
        <f>F42*G42</f>
        <v/>
      </c>
      <c r="I42" s="20" t="n">
        <v>0.2418</v>
      </c>
      <c r="J42" s="17">
        <f>H42*I42</f>
        <v/>
      </c>
    </row>
    <row r="43" ht="20" customHeight="1">
      <c r="A43" s="14" t="n">
        <v>8</v>
      </c>
      <c r="B43" s="15" t="inlineStr">
        <is>
          <t>Station B</t>
        </is>
      </c>
      <c r="C43" s="14" t="inlineStr">
        <is>
          <t>Foremost Apex</t>
        </is>
      </c>
      <c r="D43" s="16" t="n">
        <v>189.1</v>
      </c>
      <c r="E43" s="16" t="n">
        <v>0</v>
      </c>
      <c r="F43" s="17">
        <f>2*E43</f>
        <v/>
      </c>
      <c r="G43" s="18" t="n">
        <v>2.677</v>
      </c>
      <c r="H43" s="17">
        <f>F43*G43</f>
        <v/>
      </c>
      <c r="I43" s="19" t="n">
        <v>0</v>
      </c>
      <c r="J43" s="17">
        <f>H43*I43</f>
        <v/>
      </c>
    </row>
    <row r="44" ht="20" customHeight="1">
      <c r="A44" s="21" t="inlineStr">
        <is>
          <t>SUM OF PRODUCTS (VARIABLE IMPORTED HEIGHTS):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2">
        <f>SUM(J36:J43)</f>
        <v/>
      </c>
    </row>
    <row r="45" ht="22" customHeight="1">
      <c r="A45" s="25" t="inlineStr">
        <is>
          <t>ENCLOSED VOLUME (m3) = (dx / 3) * SUM:</t>
        </is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6">
        <f>(C7/3)*J44</f>
        <v/>
      </c>
    </row>
    <row r="46" ht="26" customHeight="1">
      <c r="A46" s="27" t="inlineStr">
        <is>
          <t>SUEZ CANAL TONNAGE (TONS) = Volume / 2.83: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28">
        <f>J45/C10</f>
        <v/>
      </c>
    </row>
  </sheetData>
  <mergeCells count="26">
    <mergeCell ref="A5:J5"/>
    <mergeCell ref="A25:I25"/>
    <mergeCell ref="D9:J9"/>
    <mergeCell ref="A46:I46"/>
    <mergeCell ref="D8:J8"/>
    <mergeCell ref="A6:B6"/>
    <mergeCell ref="H32:J32"/>
    <mergeCell ref="A7:B7"/>
    <mergeCell ref="A23:I23"/>
    <mergeCell ref="A34:J34"/>
    <mergeCell ref="D10:J10"/>
    <mergeCell ref="A22:I22"/>
    <mergeCell ref="A1:J1"/>
    <mergeCell ref="A44:I44"/>
    <mergeCell ref="D6:J6"/>
    <mergeCell ref="A32:E32"/>
    <mergeCell ref="A8:B8"/>
    <mergeCell ref="A24:I24"/>
    <mergeCell ref="A27:J27"/>
    <mergeCell ref="A3:J3"/>
    <mergeCell ref="D7:J7"/>
    <mergeCell ref="A10:B10"/>
    <mergeCell ref="A45:I45"/>
    <mergeCell ref="A12:J12"/>
    <mergeCell ref="A2:J2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2026-10-02T10:38:42Z</dcterms:created>
  <dcterms:modified xmlns:dcterms="http://purl.org/dc/terms/" xmlns:xsi="http://www.w3.org/2001/XMLSchema-instance" xsi:type="dcterms:W3CDTF">2026-10-02T10:38:42Z</dcterms:modified>
</cp:coreProperties>
</file>