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tch_Coam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0.000"/>
    <numFmt numFmtId="166" formatCode="#,##0.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i val="1"/>
      <color rgb="00555555"/>
      <sz val="8"/>
    </font>
    <font>
      <name val="Calibri"/>
      <b val="1"/>
      <color rgb="001B365D"/>
      <sz val="10"/>
    </font>
    <font>
      <name val="Calibri"/>
      <b val="1"/>
      <sz val="9"/>
    </font>
    <font>
      <name val="Calibri"/>
      <sz val="9"/>
    </font>
    <font>
      <name val="Calibri"/>
      <b val="1"/>
      <color rgb="001B365D"/>
      <sz val="11"/>
    </font>
  </fonts>
  <fills count="11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B5B84"/>
      </patternFill>
    </fill>
    <fill>
      <patternFill patternType="solid">
        <fgColor rgb="00F5F5F5"/>
      </patternFill>
    </fill>
    <fill>
      <patternFill patternType="solid">
        <fgColor rgb="00D0E1F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E8F5E9"/>
      </patternFill>
    </fill>
    <fill>
      <patternFill patternType="solid">
        <fgColor rgb="00E0E0E0"/>
      </patternFill>
    </fill>
    <fill>
      <patternFill patternType="solid">
        <fgColor rgb="00FFE0B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1B365D"/>
      </top>
      <bottom style="double">
        <color rgb="001B365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" fontId="5" fillId="6" borderId="1" applyAlignment="1" pivotButton="0" quotePrefix="0" xfId="0">
      <alignment horizontal="center" vertical="center" wrapText="1"/>
    </xf>
    <xf numFmtId="0" fontId="0" fillId="4" borderId="1" pivotButton="0" quotePrefix="0" xfId="0"/>
    <xf numFmtId="2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right" vertical="center"/>
    </xf>
    <xf numFmtId="166" fontId="5" fillId="8" borderId="1" applyAlignment="1" pivotButton="0" quotePrefix="0" xfId="0">
      <alignment horizontal="right" vertical="center"/>
    </xf>
    <xf numFmtId="4" fontId="5" fillId="8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166" fontId="5" fillId="9" borderId="1" applyAlignment="1" pivotButton="0" quotePrefix="0" xfId="0">
      <alignment horizontal="right" vertical="center"/>
    </xf>
    <xf numFmtId="4" fontId="5" fillId="9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4" fontId="7" fillId="1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22" customWidth="1" min="6" max="6"/>
    <col width="22" customWidth="1" min="7" max="7"/>
  </cols>
  <sheetData>
    <row r="1" ht="28" customHeight="1">
      <c r="A1" s="1" t="inlineStr">
        <is>
          <t>SUEZ CANAL TONNAGE - HATCH COAMING CALCULATION</t>
        </is>
      </c>
    </row>
    <row r="2" ht="18" customHeight="1">
      <c r="A2" s="2" t="inlineStr">
        <is>
          <t>Vessel: M/V TERVEL | SCA Rules of Navigation | Statutory Moorsom Tonnage (V / 2.83)</t>
        </is>
      </c>
    </row>
    <row r="3" ht="18" customHeight="1">
      <c r="A3" s="3" t="inlineStr">
        <is>
          <t>Volume = Length x Breadth x Height | Moorsom Tonnage = Volume / 2.83 | 0.5% (5/1000) Statutory Allowance Rule</t>
        </is>
      </c>
    </row>
    <row r="5" ht="20" customHeight="1">
      <c r="A5" s="4" t="inlineStr">
        <is>
          <t>1. HATCH COAMING CONFIGURATION &amp; SUEZ STATUTORY RULES</t>
        </is>
      </c>
    </row>
    <row r="6" ht="19" customHeight="1">
      <c r="A6" s="5" t="inlineStr">
        <is>
          <t>Number of Cargo Hatch Covers:</t>
        </is>
      </c>
      <c r="B6" s="5" t="n"/>
      <c r="C6" s="6" t="n">
        <v>5</v>
      </c>
      <c r="D6" s="3" t="inlineStr">
        <is>
          <t>User-configured number of hatchways</t>
        </is>
      </c>
      <c r="E6" s="7" t="n"/>
      <c r="F6" s="7" t="n"/>
      <c r="G6" s="7" t="n"/>
    </row>
    <row r="7" ht="19" customHeight="1">
      <c r="A7" s="5" t="inlineStr">
        <is>
          <t>Suez Moorsom Conversion Divisor:</t>
        </is>
      </c>
      <c r="B7" s="5" t="n"/>
      <c r="C7" s="8" t="n">
        <v>2.83</v>
      </c>
      <c r="D7" s="3" t="inlineStr">
        <is>
          <t>Statutory divisor: 100 cu. ft. = 2.83 m3 / Suez Ton</t>
        </is>
      </c>
      <c r="E7" s="7" t="n"/>
      <c r="F7" s="7" t="n"/>
      <c r="G7" s="7" t="n"/>
    </row>
    <row r="8" ht="19" customHeight="1">
      <c r="A8" s="5" t="inlineStr">
        <is>
          <t>SCA Statutory Hatch Allowance Rate:</t>
        </is>
      </c>
      <c r="B8" s="5" t="n"/>
      <c r="C8" s="9" t="n">
        <v>0.005</v>
      </c>
      <c r="D8" s="3" t="inlineStr">
        <is>
          <t>5 per 1000 (0.5%) of Gross Tonnage before hatchway addition</t>
        </is>
      </c>
      <c r="E8" s="7" t="n"/>
      <c r="F8" s="7" t="n"/>
      <c r="G8" s="7" t="n"/>
    </row>
    <row r="9" ht="19" customHeight="1">
      <c r="A9" s="5" t="inlineStr">
        <is>
          <t>Pre-Hatch Gross Tonnage (Tons):</t>
        </is>
      </c>
      <c r="B9" s="5" t="n"/>
      <c r="C9" s="10" t="n">
        <v>33262.8</v>
      </c>
      <c r="D9" s="3" t="inlineStr">
        <is>
          <t>Underdeck + Bulbous Bow + Forecastle + Other Spaces</t>
        </is>
      </c>
      <c r="E9" s="7" t="n"/>
      <c r="F9" s="7" t="n"/>
      <c r="G9" s="7" t="n"/>
    </row>
    <row r="11" ht="20" customHeight="1">
      <c r="A11" s="11" t="inlineStr">
        <is>
          <t>Hatch Coaming Tonnage Calculation</t>
        </is>
      </c>
      <c r="B11" s="12" t="n"/>
      <c r="C11" s="12" t="n"/>
      <c r="D11" s="12" t="n"/>
      <c r="E11" s="12" t="n"/>
      <c r="F11" s="12" t="n"/>
      <c r="G11" s="12" t="n"/>
    </row>
    <row r="12" ht="19" customHeight="1">
      <c r="A12" s="13" t="inlineStr">
        <is>
          <t>No.</t>
        </is>
      </c>
      <c r="B12" s="13" t="inlineStr">
        <is>
          <t>Hatchway Description</t>
        </is>
      </c>
      <c r="C12" s="13" t="inlineStr">
        <is>
          <t>Length L (m)</t>
        </is>
      </c>
      <c r="D12" s="13" t="inlineStr">
        <is>
          <t>Breadth B (m)</t>
        </is>
      </c>
      <c r="E12" s="13" t="inlineStr">
        <is>
          <t>Height H (m)</t>
        </is>
      </c>
      <c r="F12" s="13" t="inlineStr">
        <is>
          <t>Volume (m3)</t>
        </is>
      </c>
      <c r="G12" s="13" t="inlineStr">
        <is>
          <t>Tonnage (Suez Tons)</t>
        </is>
      </c>
    </row>
    <row r="13" ht="18" customHeight="1">
      <c r="A13" s="14" t="n">
        <v>1</v>
      </c>
      <c r="B13" s="5" t="inlineStr">
        <is>
          <t>No. 1 Cargo Hatchway</t>
        </is>
      </c>
      <c r="C13" s="15" t="n">
        <v>16.4</v>
      </c>
      <c r="D13" s="15" t="n">
        <v>16</v>
      </c>
      <c r="E13" s="15" t="n">
        <v>1.93</v>
      </c>
      <c r="F13" s="16">
        <f>C13*D13*E13</f>
        <v/>
      </c>
      <c r="G13" s="17">
        <f>F13/$C$7</f>
        <v/>
      </c>
    </row>
    <row r="14" ht="18" customHeight="1">
      <c r="A14" s="14" t="n">
        <v>2</v>
      </c>
      <c r="B14" s="5" t="inlineStr">
        <is>
          <t>No. 2 Cargo Hatchway</t>
        </is>
      </c>
      <c r="C14" s="15" t="n">
        <v>22.14</v>
      </c>
      <c r="D14" s="15" t="n">
        <v>16</v>
      </c>
      <c r="E14" s="15" t="n">
        <v>1.93</v>
      </c>
      <c r="F14" s="16">
        <f>C14*D14*E14</f>
        <v/>
      </c>
      <c r="G14" s="17">
        <f>F14/$C$7</f>
        <v/>
      </c>
    </row>
    <row r="15" ht="18" customHeight="1">
      <c r="A15" s="14" t="n">
        <v>3</v>
      </c>
      <c r="B15" s="5" t="inlineStr">
        <is>
          <t>No. 3 Cargo Hatchway</t>
        </is>
      </c>
      <c r="C15" s="15" t="n">
        <v>22.14</v>
      </c>
      <c r="D15" s="15" t="n">
        <v>16</v>
      </c>
      <c r="E15" s="15" t="n">
        <v>1.93</v>
      </c>
      <c r="F15" s="16">
        <f>C15*D15*E15</f>
        <v/>
      </c>
      <c r="G15" s="17">
        <f>F15/$C$7</f>
        <v/>
      </c>
    </row>
    <row r="16" ht="18" customHeight="1">
      <c r="A16" s="14" t="n">
        <v>4</v>
      </c>
      <c r="B16" s="5" t="inlineStr">
        <is>
          <t>No. 4 Cargo Hatchway</t>
        </is>
      </c>
      <c r="C16" s="15" t="n">
        <v>22.14</v>
      </c>
      <c r="D16" s="15" t="n">
        <v>16</v>
      </c>
      <c r="E16" s="15" t="n">
        <v>1.93</v>
      </c>
      <c r="F16" s="16">
        <f>C16*D16*E16</f>
        <v/>
      </c>
      <c r="G16" s="17">
        <f>F16/$C$7</f>
        <v/>
      </c>
    </row>
    <row r="17" ht="18" customHeight="1">
      <c r="A17" s="14" t="n">
        <v>5</v>
      </c>
      <c r="B17" s="5" t="inlineStr">
        <is>
          <t>No. 5 Cargo Hatchway</t>
        </is>
      </c>
      <c r="C17" s="15" t="n">
        <v>22.14</v>
      </c>
      <c r="D17" s="15" t="n">
        <v>16</v>
      </c>
      <c r="E17" s="15" t="n">
        <v>1.93</v>
      </c>
      <c r="F17" s="16">
        <f>C17*D17*E17</f>
        <v/>
      </c>
      <c r="G17" s="17">
        <f>F17/$C$7</f>
        <v/>
      </c>
    </row>
    <row r="18" ht="19" customHeight="1">
      <c r="A18" s="18" t="inlineStr">
        <is>
          <t>Total Aggregate Cargo Hatchways</t>
        </is>
      </c>
      <c r="B18" s="19" t="n"/>
      <c r="C18" s="19" t="n"/>
      <c r="D18" s="19" t="n"/>
      <c r="E18" s="19" t="n"/>
      <c r="F18" s="20">
        <f>SUM(F13:F17)</f>
        <v/>
      </c>
      <c r="G18" s="21">
        <f>SUM(G13:G17)</f>
        <v/>
      </c>
    </row>
    <row r="19" ht="18" customHeight="1">
      <c r="A19" s="5" t="inlineStr">
        <is>
          <t>Statutory 0.5% Allowance: 0.005 x Pre-Hatch Gross Tonnage</t>
        </is>
      </c>
      <c r="B19" s="7" t="n"/>
      <c r="C19" s="7" t="n"/>
      <c r="D19" s="7" t="n"/>
      <c r="E19" s="7" t="n"/>
      <c r="F19" s="22">
        <f>G19*$C$7</f>
        <v/>
      </c>
      <c r="G19" s="17">
        <f>$C$9*$C$8</f>
        <v/>
      </c>
    </row>
    <row r="20" ht="22" customHeight="1">
      <c r="A20" s="11" t="inlineStr">
        <is>
          <t>Excess Cargo Hatchway Tonnage Added to Gross Tonnage</t>
        </is>
      </c>
      <c r="B20" s="12" t="n"/>
      <c r="C20" s="12" t="n"/>
      <c r="D20" s="12" t="n"/>
      <c r="E20" s="12" t="n"/>
      <c r="F20" s="16">
        <f>G20*$C$7</f>
        <v/>
      </c>
      <c r="G20" s="23">
        <f>MAX(0, G18-G19)</f>
        <v/>
      </c>
    </row>
  </sheetData>
  <mergeCells count="16">
    <mergeCell ref="A1:G1"/>
    <mergeCell ref="D9:G9"/>
    <mergeCell ref="A7:B7"/>
    <mergeCell ref="A18:E18"/>
    <mergeCell ref="A20:E20"/>
    <mergeCell ref="A3:G3"/>
    <mergeCell ref="D8:G8"/>
    <mergeCell ref="D6:G6"/>
    <mergeCell ref="A19:E19"/>
    <mergeCell ref="D7:G7"/>
    <mergeCell ref="A2:G2"/>
    <mergeCell ref="A9:B9"/>
    <mergeCell ref="A8:B8"/>
    <mergeCell ref="A11:G11"/>
    <mergeCell ref="A6:B6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2026-10-02T10:38:49Z</dcterms:created>
  <dcterms:modified xmlns:dcterms="http://purl.org/dc/terms/" xmlns:xsi="http://www.w3.org/2001/XMLSchema-instance" xsi:type="dcterms:W3CDTF">2026-10-02T10:38:49Z</dcterms:modified>
</cp:coreProperties>
</file>