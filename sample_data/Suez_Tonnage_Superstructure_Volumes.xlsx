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Suaze tonnage calculator\"/>
    </mc:Choice>
  </mc:AlternateContent>
  <xr:revisionPtr revIDLastSave="0" documentId="13_ncr:1_{63D4BAEF-539B-4DBD-AF57-8B53D4FF884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uez Classification" sheetId="1" r:id="rId1"/>
    <sheet name="Volume Calculat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5" i="2" l="1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62" i="2" s="1"/>
  <c r="I15" i="2"/>
  <c r="I14" i="2"/>
  <c r="I13" i="2"/>
  <c r="I12" i="2"/>
  <c r="I11" i="2"/>
  <c r="I10" i="2"/>
  <c r="I9" i="2"/>
  <c r="I61" i="2" s="1"/>
  <c r="I8" i="2"/>
  <c r="I60" i="2" s="1"/>
  <c r="I7" i="2"/>
  <c r="I6" i="2"/>
  <c r="I5" i="2"/>
  <c r="I4" i="2"/>
  <c r="I3" i="2"/>
  <c r="I63" i="2" l="1"/>
  <c r="I59" i="2"/>
</calcChain>
</file>

<file path=xl/sharedStrings.xml><?xml version="1.0" encoding="utf-8"?>
<sst xmlns="http://schemas.openxmlformats.org/spreadsheetml/2006/main" count="411" uniqueCount="133">
  <si>
    <t>Space / Room</t>
  </si>
  <si>
    <t>Category</t>
  </si>
  <si>
    <t>Captain cabin</t>
  </si>
  <si>
    <t>ADD</t>
  </si>
  <si>
    <t>DEDUCT</t>
  </si>
  <si>
    <t>Crew/Officer</t>
  </si>
  <si>
    <t>Chief Officer cabin</t>
  </si>
  <si>
    <t>2nd Officer cabin</t>
  </si>
  <si>
    <t>3rd Officer cabin</t>
  </si>
  <si>
    <t>Chief Engineer cabin</t>
  </si>
  <si>
    <t>2nd / 3rd / 4th Engineer cabins</t>
  </si>
  <si>
    <t>Seaman cabins</t>
  </si>
  <si>
    <t>Crew</t>
  </si>
  <si>
    <t>Motorman cabins</t>
  </si>
  <si>
    <t>Boatswain cabin</t>
  </si>
  <si>
    <t>Electrician cabin</t>
  </si>
  <si>
    <t>Pilot cabin</t>
  </si>
  <si>
    <t>CHECK / CONDITIONAL</t>
  </si>
  <si>
    <t>Crew/Pilot</t>
  </si>
  <si>
    <t>Officers' mess / lounge</t>
  </si>
  <si>
    <t>Crew mess / lounge</t>
  </si>
  <si>
    <t>Galley</t>
  </si>
  <si>
    <t>Crew service</t>
  </si>
  <si>
    <t>Cook cabin</t>
  </si>
  <si>
    <t>Hospital</t>
  </si>
  <si>
    <t>WC / lavatories / bathrooms</t>
  </si>
  <si>
    <t>Laundry / drying room</t>
  </si>
  <si>
    <t>Gymnasium / crew recreation</t>
  </si>
  <si>
    <t>Crew office / deck office</t>
  </si>
  <si>
    <t>Chief Engineer office / day room</t>
  </si>
  <si>
    <t>Meeting room</t>
  </si>
  <si>
    <t>Radio room</t>
  </si>
  <si>
    <t>Navigation</t>
  </si>
  <si>
    <t>Chart room</t>
  </si>
  <si>
    <t>Wheelhouse</t>
  </si>
  <si>
    <t>Battery room for radio/navigation</t>
  </si>
  <si>
    <t>Navigation service</t>
  </si>
  <si>
    <t>Engine Control Room</t>
  </si>
  <si>
    <t>DEDUCT AS MACHINERY</t>
  </si>
  <si>
    <t>Machinery</t>
  </si>
  <si>
    <t>Engine casing</t>
  </si>
  <si>
    <t>ADD IF ENCLOSED/MEASURED</t>
  </si>
  <si>
    <t>MACHINERY TREATMENT</t>
  </si>
  <si>
    <t>Funnel casing</t>
  </si>
  <si>
    <t>CHECK</t>
  </si>
  <si>
    <t>Steering Gear Room</t>
  </si>
  <si>
    <t>ADD IF MEASURED</t>
  </si>
  <si>
    <t>Machinery/Navigation</t>
  </si>
  <si>
    <t>Purifier Room</t>
  </si>
  <si>
    <t>A.C. Room</t>
  </si>
  <si>
    <t>Service/Machinery</t>
  </si>
  <si>
    <t>CO₂ Room</t>
  </si>
  <si>
    <t>Safety</t>
  </si>
  <si>
    <t>Fire-Fighting Store</t>
  </si>
  <si>
    <t>Boat Store</t>
  </si>
  <si>
    <t>NOT AUTOMATIC</t>
  </si>
  <si>
    <t>Store</t>
  </si>
  <si>
    <t>General Store</t>
  </si>
  <si>
    <t>NO</t>
  </si>
  <si>
    <t>Spare Parts Room</t>
  </si>
  <si>
    <t>Machinery/Store</t>
  </si>
  <si>
    <t>Workshop</t>
  </si>
  <si>
    <t>Dry Provision Store</t>
  </si>
  <si>
    <t>Provision Store</t>
  </si>
  <si>
    <t>Meat -18°C</t>
  </si>
  <si>
    <t>Cold Store</t>
  </si>
  <si>
    <t>Fish -18°C</t>
  </si>
  <si>
    <t>Vegetable +4°C</t>
  </si>
  <si>
    <t>Refrigerating machinery room</t>
  </si>
  <si>
    <t>Ordinary accommodation-deck store</t>
  </si>
  <si>
    <t>Suez Tonnage — GA-Based Space Volume Schedule</t>
  </si>
  <si>
    <t>Deck / Level</t>
  </si>
  <si>
    <t>Space / Group</t>
  </si>
  <si>
    <t>Qty</t>
  </si>
  <si>
    <t>Length (m)</t>
  </si>
  <si>
    <t>Breadth (m)</t>
  </si>
  <si>
    <t>Height (m)</t>
  </si>
  <si>
    <t>Form factor</t>
  </si>
  <si>
    <t>Calculated volume (m³)</t>
  </si>
  <si>
    <t>Upper Platform</t>
  </si>
  <si>
    <t>Upper Deck</t>
  </si>
  <si>
    <t>Gymnasium / Recreation</t>
  </si>
  <si>
    <t>Laundry / Drying Room</t>
  </si>
  <si>
    <t>WC / Lavatory</t>
  </si>
  <si>
    <t>Deck Office</t>
  </si>
  <si>
    <t>Seaman Cabins</t>
  </si>
  <si>
    <t>Motorman Cabins</t>
  </si>
  <si>
    <t>Meat Store -18°C</t>
  </si>
  <si>
    <t>Fish Store -18°C</t>
  </si>
  <si>
    <t>Vegetable Store +4°C</t>
  </si>
  <si>
    <t>Chief Engineer Office / Day Room</t>
  </si>
  <si>
    <t>Boat Deck</t>
  </si>
  <si>
    <t>Crew Mess / Lounge</t>
  </si>
  <si>
    <t>Cook Cabin</t>
  </si>
  <si>
    <t>Officers' Mess / Lounge</t>
  </si>
  <si>
    <t>Accommodation Deck</t>
  </si>
  <si>
    <t>Ordinary Store</t>
  </si>
  <si>
    <t>Electrician Cabin</t>
  </si>
  <si>
    <t>Chief Motorman Cabin</t>
  </si>
  <si>
    <t>2nd Engineer Suite</t>
  </si>
  <si>
    <t>3rd Engineer Cabin</t>
  </si>
  <si>
    <t>Boatswain Cabin</t>
  </si>
  <si>
    <t>Chief Officer Suite</t>
  </si>
  <si>
    <t>Captain Deck</t>
  </si>
  <si>
    <t>4th Engineer Cabin</t>
  </si>
  <si>
    <t>Crew / Officer Office</t>
  </si>
  <si>
    <t>Linen / Ordinary Store</t>
  </si>
  <si>
    <t>Pilot Cabin</t>
  </si>
  <si>
    <t>3rd Officer Cabin</t>
  </si>
  <si>
    <t>2nd Officer Cabin</t>
  </si>
  <si>
    <t>Chief Engineer Suite</t>
  </si>
  <si>
    <t>Meeting Room</t>
  </si>
  <si>
    <t>Captain Suite</t>
  </si>
  <si>
    <t>Bridge Deck</t>
  </si>
  <si>
    <t>Radio Room</t>
  </si>
  <si>
    <t>Chart Rooms (combined)</t>
  </si>
  <si>
    <t>Battery Room (radio/navigation)</t>
  </si>
  <si>
    <t>Wheelhouse (net)</t>
  </si>
  <si>
    <t>Engine Casing (measured segment)</t>
  </si>
  <si>
    <t>Accommodation + Captain Decks</t>
  </si>
  <si>
    <t>Funnel Casing</t>
  </si>
  <si>
    <t>Unresolved</t>
  </si>
  <si>
    <t>Refrigerating Machinery Room</t>
  </si>
  <si>
    <t>Volume Summary — preliminary GA measurement</t>
  </si>
  <si>
    <t>Total measured candidate volume (excludes unresolved)</t>
  </si>
  <si>
    <t>m³ values are geometric estimates, not approved Suez Canal Authority tonnage figures. “DEDUCT AS MACHINERY” and “MACHINERY TREATMENT” remain subject to the applicable machinery-space allowance and surveyor acceptance.</t>
  </si>
  <si>
    <t>Rows stated DEDUCT / DEDUCT AS MACHINERY</t>
  </si>
  <si>
    <t>Conditional / machinery-treatment review volume</t>
  </si>
  <si>
    <t>SCNT = NO volume</t>
  </si>
  <si>
    <t>Unresolved rows (missing calculated volume)</t>
  </si>
  <si>
    <t>Column1</t>
  </si>
  <si>
    <t>Gross Tonnage treatment</t>
  </si>
  <si>
    <t>Net Tonnage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</si>
</sst>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color rgb="FFFFFFFF"/>
      <name val="Carlito"/>
    </font>
    <font>
      <sz val="9"/>
      <color rgb="FF1F1F1F"/>
      <name val="Carlito"/>
    </font>
    <font>
      <b/>
      <sz val="9"/>
      <color rgb="FF1F1F1F"/>
      <name val="Carlito"/>
    </font>
    <font>
      <b/>
      <sz val="12"/>
      <color rgb="FFFFFFFF"/>
      <name val="Carlito"/>
    </font>
    <font>
      <i/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7F9FC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5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164" fontId="4" fillId="0" borderId="2" xfId="0" applyNumberFormat="1" applyFont="1" applyBorder="1" applyAlignment="1">
      <alignment horizontal="center" vertical="top" wrapText="1"/>
    </xf>
    <xf numFmtId="164" fontId="4" fillId="0" borderId="0" xfId="0" applyNumberFormat="1" applyFont="1" applyAlignment="1">
      <alignment horizontal="center" vertical="top" wrapText="1"/>
    </xf>
    <xf numFmtId="164" fontId="5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2" fontId="4" fillId="6" borderId="2" xfId="0" applyNumberFormat="1" applyFont="1" applyFill="1" applyBorder="1" applyAlignment="1">
      <alignment horizontal="right" vertical="top" wrapText="1"/>
    </xf>
    <xf numFmtId="2" fontId="4" fillId="6" borderId="0" xfId="0" applyNumberFormat="1" applyFont="1" applyFill="1" applyAlignment="1">
      <alignment horizontal="right" vertical="top" wrapText="1"/>
    </xf>
    <xf numFmtId="2" fontId="5" fillId="6" borderId="0" xfId="0" applyNumberFormat="1" applyFont="1" applyFill="1" applyAlignment="1">
      <alignment horizontal="right" vertical="top" wrapText="1"/>
    </xf>
    <xf numFmtId="2" fontId="4" fillId="6" borderId="5" xfId="0" applyNumberFormat="1" applyFont="1" applyFill="1" applyBorder="1" applyAlignment="1">
      <alignment horizontal="right" vertical="top" wrapText="1"/>
    </xf>
    <xf numFmtId="2" fontId="4" fillId="7" borderId="2" xfId="0" applyNumberFormat="1" applyFont="1" applyFill="1" applyBorder="1" applyAlignment="1">
      <alignment horizontal="right" vertical="top" wrapText="1"/>
    </xf>
    <xf numFmtId="2" fontId="4" fillId="7" borderId="0" xfId="0" applyNumberFormat="1" applyFont="1" applyFill="1" applyAlignment="1">
      <alignment horizontal="right" vertical="top" wrapText="1"/>
    </xf>
    <xf numFmtId="2" fontId="4" fillId="7" borderId="5" xfId="0" applyNumberFormat="1" applyFont="1" applyFill="1" applyBorder="1" applyAlignment="1">
      <alignment horizontal="right" vertical="top" wrapText="1"/>
    </xf>
    <xf numFmtId="0" fontId="4" fillId="7" borderId="2" xfId="0" applyFont="1" applyFill="1" applyBorder="1" applyAlignment="1">
      <alignment vertical="top" wrapText="1"/>
    </xf>
    <xf numFmtId="0" fontId="4" fillId="8" borderId="3" xfId="0" applyFont="1" applyFill="1" applyBorder="1" applyAlignment="1">
      <alignment vertical="top" wrapText="1"/>
    </xf>
    <xf numFmtId="0" fontId="4" fillId="8" borderId="0" xfId="0" applyFont="1" applyFill="1" applyAlignment="1">
      <alignment vertical="top" wrapText="1"/>
    </xf>
    <xf numFmtId="164" fontId="4" fillId="8" borderId="0" xfId="0" applyNumberFormat="1" applyFont="1" applyFill="1" applyAlignment="1">
      <alignment horizontal="center" vertical="top" wrapText="1"/>
    </xf>
    <xf numFmtId="0" fontId="4" fillId="7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9" borderId="0" xfId="0" applyFont="1" applyFill="1" applyAlignment="1">
      <alignment vertical="top" wrapText="1"/>
    </xf>
    <xf numFmtId="0" fontId="5" fillId="8" borderId="3" xfId="0" applyFont="1" applyFill="1" applyBorder="1" applyAlignment="1">
      <alignment horizontal="center" vertical="top" wrapText="1"/>
    </xf>
    <xf numFmtId="0" fontId="5" fillId="8" borderId="0" xfId="0" applyFont="1" applyFill="1" applyAlignment="1">
      <alignment horizontal="center" vertical="top" wrapText="1"/>
    </xf>
    <xf numFmtId="164" fontId="5" fillId="8" borderId="0" xfId="0" applyNumberFormat="1" applyFont="1" applyFill="1" applyAlignment="1">
      <alignment horizontal="center" vertical="top" wrapText="1"/>
    </xf>
    <xf numFmtId="0" fontId="5" fillId="8" borderId="3" xfId="0" applyFont="1" applyFill="1" applyBorder="1" applyAlignment="1">
      <alignment vertical="top" wrapText="1"/>
    </xf>
    <xf numFmtId="0" fontId="5" fillId="8" borderId="0" xfId="0" applyFont="1" applyFill="1" applyAlignment="1">
      <alignment vertical="top" wrapText="1"/>
    </xf>
    <xf numFmtId="0" fontId="4" fillId="8" borderId="0" xfId="0" applyFont="1" applyFill="1" applyAlignment="1">
      <alignment horizontal="center" vertical="top" wrapText="1"/>
    </xf>
    <xf numFmtId="0" fontId="4" fillId="7" borderId="5" xfId="0" applyFont="1" applyFill="1" applyBorder="1" applyAlignment="1">
      <alignment vertical="top" wrapText="1"/>
    </xf>
    <xf numFmtId="2" fontId="2" fillId="7" borderId="0" xfId="0" applyNumberFormat="1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/>
    </xf>
    <xf numFmtId="0" fontId="2" fillId="4" borderId="0" xfId="0" applyFont="1" applyFill="1" applyAlignment="1">
      <alignment wrapText="1"/>
    </xf>
    <xf numFmtId="0" fontId="7" fillId="6" borderId="0" xfId="0" applyFont="1" applyFill="1" applyAlignment="1">
      <alignment vertical="top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ezVolumeSchedule" displayName="SuezVolumeSchedule" ref="A2:K55" totalsRowShown="0">
  <tableColumns count="11">
    <tableColumn id="1" xr3:uid="{00000000-0010-0000-0000-000001000000}" name="Deck / Level"/>
    <tableColumn id="2" xr3:uid="{00000000-0010-0000-0000-000002000000}" name="Space / Group"/>
    <tableColumn id="3" xr3:uid="{00000000-0010-0000-0000-000003000000}" name="Qty"/>
    <tableColumn id="4" xr3:uid="{00000000-0010-0000-0000-000004000000}" name="Length (m)"/>
    <tableColumn id="5" xr3:uid="{00000000-0010-0000-0000-000005000000}" name="Breadth (m)"/>
    <tableColumn id="6" xr3:uid="{00000000-0010-0000-0000-000006000000}" name="Height (m)"/>
    <tableColumn id="7" xr3:uid="{00000000-0010-0000-0000-000007000000}" name="Form factor"/>
    <tableColumn id="8" xr3:uid="{00000000-0010-0000-0000-000008000000}" name="Column1"/>
    <tableColumn id="9" xr3:uid="{00000000-0010-0000-0000-000009000000}" name="Calculated volume (m³)"/>
    <tableColumn id="10" xr3:uid="{00000000-0010-0000-0000-00000A000000}" name="Gross Tonnage treatment"/>
    <tableColumn id="11" xr3:uid="{00000000-0010-0000-0000-00000B000000}" name="Net Tonnage dedu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zoomScale="70" zoomScaleNormal="70" workbookViewId="0">
      <selection activeCell="C13" sqref="C13"/>
    </sheetView>
  </sheetViews>
  <sheetFormatPr defaultRowHeight="14.25"/>
  <cols>
    <col min="1" max="1" width="30" customWidth="1"/>
    <col min="2" max="3" width="24" customWidth="1"/>
    <col min="4" max="4" width="20" customWidth="1"/>
  </cols>
  <sheetData>
    <row r="1" spans="1:4" ht="15">
      <c r="A1" s="1" t="s">
        <v>0</v>
      </c>
      <c r="B1" s="44" t="s">
        <v>131</v>
      </c>
      <c r="C1" s="45" t="s">
        <v>132</v>
      </c>
      <c r="D1" s="1" t="s">
        <v>1</v>
      </c>
    </row>
    <row r="2" spans="1:4">
      <c r="A2" s="2" t="s">
        <v>2</v>
      </c>
      <c r="B2" s="2" t="s">
        <v>3</v>
      </c>
      <c r="C2" s="2" t="s">
        <v>4</v>
      </c>
      <c r="D2" s="2" t="s">
        <v>5</v>
      </c>
    </row>
    <row r="3" spans="1:4">
      <c r="A3" s="2" t="s">
        <v>6</v>
      </c>
      <c r="B3" s="2" t="s">
        <v>3</v>
      </c>
      <c r="C3" s="2" t="s">
        <v>4</v>
      </c>
      <c r="D3" s="2" t="s">
        <v>5</v>
      </c>
    </row>
    <row r="4" spans="1:4">
      <c r="A4" s="2" t="s">
        <v>7</v>
      </c>
      <c r="B4" s="2" t="s">
        <v>3</v>
      </c>
      <c r="C4" s="2" t="s">
        <v>4</v>
      </c>
      <c r="D4" s="2" t="s">
        <v>5</v>
      </c>
    </row>
    <row r="5" spans="1:4">
      <c r="A5" s="2" t="s">
        <v>8</v>
      </c>
      <c r="B5" s="2" t="s">
        <v>3</v>
      </c>
      <c r="C5" s="2" t="s">
        <v>4</v>
      </c>
      <c r="D5" s="2" t="s">
        <v>5</v>
      </c>
    </row>
    <row r="6" spans="1:4">
      <c r="A6" s="2" t="s">
        <v>9</v>
      </c>
      <c r="B6" s="2" t="s">
        <v>3</v>
      </c>
      <c r="C6" s="2" t="s">
        <v>4</v>
      </c>
      <c r="D6" s="2" t="s">
        <v>5</v>
      </c>
    </row>
    <row r="7" spans="1:4">
      <c r="A7" s="2" t="s">
        <v>10</v>
      </c>
      <c r="B7" s="2" t="s">
        <v>3</v>
      </c>
      <c r="C7" s="2" t="s">
        <v>4</v>
      </c>
      <c r="D7" s="2" t="s">
        <v>5</v>
      </c>
    </row>
    <row r="8" spans="1:4">
      <c r="A8" s="2" t="s">
        <v>11</v>
      </c>
      <c r="B8" s="2" t="s">
        <v>3</v>
      </c>
      <c r="C8" s="2" t="s">
        <v>4</v>
      </c>
      <c r="D8" s="2" t="s">
        <v>12</v>
      </c>
    </row>
    <row r="9" spans="1:4">
      <c r="A9" s="2" t="s">
        <v>13</v>
      </c>
      <c r="B9" s="2" t="s">
        <v>3</v>
      </c>
      <c r="C9" s="2" t="s">
        <v>4</v>
      </c>
      <c r="D9" s="2" t="s">
        <v>12</v>
      </c>
    </row>
    <row r="10" spans="1:4">
      <c r="A10" s="2" t="s">
        <v>14</v>
      </c>
      <c r="B10" s="2" t="s">
        <v>3</v>
      </c>
      <c r="C10" s="2" t="s">
        <v>4</v>
      </c>
      <c r="D10" s="2" t="s">
        <v>12</v>
      </c>
    </row>
    <row r="11" spans="1:4">
      <c r="A11" s="2" t="s">
        <v>15</v>
      </c>
      <c r="B11" s="2" t="s">
        <v>3</v>
      </c>
      <c r="C11" s="2" t="s">
        <v>4</v>
      </c>
      <c r="D11" s="2" t="s">
        <v>12</v>
      </c>
    </row>
    <row r="12" spans="1:4">
      <c r="A12" s="2" t="s">
        <v>16</v>
      </c>
      <c r="B12" s="2" t="s">
        <v>3</v>
      </c>
      <c r="C12" s="2" t="s">
        <v>17</v>
      </c>
      <c r="D12" s="2" t="s">
        <v>18</v>
      </c>
    </row>
    <row r="13" spans="1:4">
      <c r="A13" s="2" t="s">
        <v>19</v>
      </c>
      <c r="B13" s="2" t="s">
        <v>3</v>
      </c>
      <c r="C13" s="2" t="s">
        <v>4</v>
      </c>
      <c r="D13" s="2" t="s">
        <v>5</v>
      </c>
    </row>
    <row r="14" spans="1:4">
      <c r="A14" s="2" t="s">
        <v>20</v>
      </c>
      <c r="B14" s="2" t="s">
        <v>3</v>
      </c>
      <c r="C14" s="2" t="s">
        <v>4</v>
      </c>
      <c r="D14" s="2" t="s">
        <v>12</v>
      </c>
    </row>
    <row r="15" spans="1:4">
      <c r="A15" s="2" t="s">
        <v>21</v>
      </c>
      <c r="B15" s="2" t="s">
        <v>3</v>
      </c>
      <c r="C15" s="2" t="s">
        <v>4</v>
      </c>
      <c r="D15" s="2" t="s">
        <v>22</v>
      </c>
    </row>
    <row r="16" spans="1:4">
      <c r="A16" s="2" t="s">
        <v>23</v>
      </c>
      <c r="B16" s="2" t="s">
        <v>3</v>
      </c>
      <c r="C16" s="2" t="s">
        <v>4</v>
      </c>
      <c r="D16" s="2" t="s">
        <v>12</v>
      </c>
    </row>
    <row r="17" spans="1:4">
      <c r="A17" s="2" t="s">
        <v>24</v>
      </c>
      <c r="B17" s="2" t="s">
        <v>3</v>
      </c>
      <c r="C17" s="2" t="s">
        <v>4</v>
      </c>
      <c r="D17" s="2" t="s">
        <v>22</v>
      </c>
    </row>
    <row r="18" spans="1:4">
      <c r="A18" s="2" t="s">
        <v>25</v>
      </c>
      <c r="B18" s="2" t="s">
        <v>3</v>
      </c>
      <c r="C18" s="2" t="s">
        <v>4</v>
      </c>
      <c r="D18" s="2" t="s">
        <v>22</v>
      </c>
    </row>
    <row r="19" spans="1:4">
      <c r="A19" s="2" t="s">
        <v>26</v>
      </c>
      <c r="B19" s="2" t="s">
        <v>3</v>
      </c>
      <c r="C19" s="2" t="s">
        <v>4</v>
      </c>
      <c r="D19" s="2" t="s">
        <v>22</v>
      </c>
    </row>
    <row r="20" spans="1:4">
      <c r="A20" s="2" t="s">
        <v>27</v>
      </c>
      <c r="B20" s="2" t="s">
        <v>3</v>
      </c>
      <c r="C20" s="2" t="s">
        <v>17</v>
      </c>
      <c r="D20" s="2" t="s">
        <v>22</v>
      </c>
    </row>
    <row r="21" spans="1:4">
      <c r="A21" s="2" t="s">
        <v>28</v>
      </c>
      <c r="B21" s="2" t="s">
        <v>3</v>
      </c>
      <c r="C21" s="2" t="s">
        <v>17</v>
      </c>
      <c r="D21" s="2" t="s">
        <v>5</v>
      </c>
    </row>
    <row r="22" spans="1:4">
      <c r="A22" s="2" t="s">
        <v>29</v>
      </c>
      <c r="B22" s="2" t="s">
        <v>3</v>
      </c>
      <c r="C22" s="2" t="s">
        <v>4</v>
      </c>
      <c r="D22" s="2" t="s">
        <v>5</v>
      </c>
    </row>
    <row r="23" spans="1:4">
      <c r="A23" s="2" t="s">
        <v>30</v>
      </c>
      <c r="B23" s="2" t="s">
        <v>3</v>
      </c>
      <c r="C23" s="2" t="s">
        <v>17</v>
      </c>
      <c r="D23" s="2" t="s">
        <v>5</v>
      </c>
    </row>
    <row r="24" spans="1:4">
      <c r="A24" s="2" t="s">
        <v>31</v>
      </c>
      <c r="B24" s="2" t="s">
        <v>3</v>
      </c>
      <c r="C24" s="2" t="s">
        <v>4</v>
      </c>
      <c r="D24" s="2" t="s">
        <v>32</v>
      </c>
    </row>
    <row r="25" spans="1:4">
      <c r="A25" s="2" t="s">
        <v>33</v>
      </c>
      <c r="B25" s="2" t="s">
        <v>3</v>
      </c>
      <c r="C25" s="2" t="s">
        <v>4</v>
      </c>
      <c r="D25" s="2" t="s">
        <v>32</v>
      </c>
    </row>
    <row r="26" spans="1:4">
      <c r="A26" s="2" t="s">
        <v>34</v>
      </c>
      <c r="B26" s="2" t="s">
        <v>3</v>
      </c>
      <c r="C26" s="2" t="s">
        <v>4</v>
      </c>
      <c r="D26" s="2" t="s">
        <v>32</v>
      </c>
    </row>
    <row r="27" spans="1:4">
      <c r="A27" s="2" t="s">
        <v>35</v>
      </c>
      <c r="B27" s="2" t="s">
        <v>3</v>
      </c>
      <c r="C27" s="2" t="s">
        <v>17</v>
      </c>
      <c r="D27" s="2" t="s">
        <v>36</v>
      </c>
    </row>
    <row r="28" spans="1:4">
      <c r="A28" s="2" t="s">
        <v>37</v>
      </c>
      <c r="B28" s="2" t="s">
        <v>3</v>
      </c>
      <c r="C28" s="2" t="s">
        <v>38</v>
      </c>
      <c r="D28" s="2" t="s">
        <v>39</v>
      </c>
    </row>
    <row r="29" spans="1:4" ht="28.5">
      <c r="A29" s="2" t="s">
        <v>40</v>
      </c>
      <c r="B29" s="2" t="s">
        <v>41</v>
      </c>
      <c r="C29" s="2" t="s">
        <v>42</v>
      </c>
      <c r="D29" s="2" t="s">
        <v>39</v>
      </c>
    </row>
    <row r="30" spans="1:4">
      <c r="A30" s="2" t="s">
        <v>43</v>
      </c>
      <c r="B30" s="2" t="s">
        <v>44</v>
      </c>
      <c r="C30" s="2" t="s">
        <v>42</v>
      </c>
      <c r="D30" s="2" t="s">
        <v>39</v>
      </c>
    </row>
    <row r="31" spans="1:4">
      <c r="A31" s="2" t="s">
        <v>45</v>
      </c>
      <c r="B31" s="2" t="s">
        <v>46</v>
      </c>
      <c r="C31" s="2" t="s">
        <v>4</v>
      </c>
      <c r="D31" s="2" t="s">
        <v>47</v>
      </c>
    </row>
    <row r="32" spans="1:4">
      <c r="A32" s="2" t="s">
        <v>48</v>
      </c>
      <c r="B32" s="2" t="s">
        <v>3</v>
      </c>
      <c r="C32" s="2" t="s">
        <v>38</v>
      </c>
      <c r="D32" s="2" t="s">
        <v>39</v>
      </c>
    </row>
    <row r="33" spans="1:4">
      <c r="A33" s="2" t="s">
        <v>49</v>
      </c>
      <c r="B33" s="2" t="s">
        <v>3</v>
      </c>
      <c r="C33" s="2" t="s">
        <v>17</v>
      </c>
      <c r="D33" s="2" t="s">
        <v>50</v>
      </c>
    </row>
    <row r="34" spans="1:4">
      <c r="A34" s="2" t="s">
        <v>51</v>
      </c>
      <c r="B34" s="2" t="s">
        <v>3</v>
      </c>
      <c r="C34" s="2" t="s">
        <v>4</v>
      </c>
      <c r="D34" s="2" t="s">
        <v>52</v>
      </c>
    </row>
    <row r="35" spans="1:4">
      <c r="A35" s="2" t="s">
        <v>53</v>
      </c>
      <c r="B35" s="2" t="s">
        <v>3</v>
      </c>
      <c r="C35" s="2" t="s">
        <v>17</v>
      </c>
      <c r="D35" s="2" t="s">
        <v>52</v>
      </c>
    </row>
    <row r="36" spans="1:4">
      <c r="A36" s="2" t="s">
        <v>54</v>
      </c>
      <c r="B36" s="2" t="s">
        <v>3</v>
      </c>
      <c r="C36" s="2" t="s">
        <v>55</v>
      </c>
      <c r="D36" s="2" t="s">
        <v>56</v>
      </c>
    </row>
    <row r="37" spans="1:4">
      <c r="A37" s="2" t="s">
        <v>57</v>
      </c>
      <c r="B37" s="2" t="s">
        <v>3</v>
      </c>
      <c r="C37" s="2" t="s">
        <v>58</v>
      </c>
      <c r="D37" s="2" t="s">
        <v>56</v>
      </c>
    </row>
    <row r="38" spans="1:4">
      <c r="A38" s="2" t="s">
        <v>59</v>
      </c>
      <c r="B38" s="2" t="s">
        <v>3</v>
      </c>
      <c r="C38" s="2" t="s">
        <v>17</v>
      </c>
      <c r="D38" s="2" t="s">
        <v>60</v>
      </c>
    </row>
    <row r="39" spans="1:4">
      <c r="A39" s="2" t="s">
        <v>61</v>
      </c>
      <c r="B39" s="2" t="s">
        <v>3</v>
      </c>
      <c r="C39" s="2" t="s">
        <v>17</v>
      </c>
      <c r="D39" s="2" t="s">
        <v>39</v>
      </c>
    </row>
    <row r="40" spans="1:4">
      <c r="A40" s="2" t="s">
        <v>62</v>
      </c>
      <c r="B40" s="2" t="s">
        <v>3</v>
      </c>
      <c r="C40" s="2" t="s">
        <v>58</v>
      </c>
      <c r="D40" s="2" t="s">
        <v>63</v>
      </c>
    </row>
    <row r="41" spans="1:4">
      <c r="A41" s="2" t="s">
        <v>64</v>
      </c>
      <c r="B41" s="2" t="s">
        <v>3</v>
      </c>
      <c r="C41" s="2" t="s">
        <v>58</v>
      </c>
      <c r="D41" s="2" t="s">
        <v>65</v>
      </c>
    </row>
    <row r="42" spans="1:4">
      <c r="A42" s="2" t="s">
        <v>66</v>
      </c>
      <c r="B42" s="2" t="s">
        <v>3</v>
      </c>
      <c r="C42" s="2" t="s">
        <v>58</v>
      </c>
      <c r="D42" s="2" t="s">
        <v>65</v>
      </c>
    </row>
    <row r="43" spans="1:4">
      <c r="A43" s="2" t="s">
        <v>67</v>
      </c>
      <c r="B43" s="2" t="s">
        <v>3</v>
      </c>
      <c r="C43" s="2" t="s">
        <v>58</v>
      </c>
      <c r="D43" s="2" t="s">
        <v>65</v>
      </c>
    </row>
    <row r="44" spans="1:4">
      <c r="A44" s="2" t="s">
        <v>68</v>
      </c>
      <c r="B44" s="2" t="s">
        <v>3</v>
      </c>
      <c r="C44" s="2" t="s">
        <v>38</v>
      </c>
      <c r="D44" s="2" t="s">
        <v>39</v>
      </c>
    </row>
    <row r="45" spans="1:4" ht="28.5">
      <c r="A45" s="2" t="s">
        <v>69</v>
      </c>
      <c r="B45" s="2" t="s">
        <v>3</v>
      </c>
      <c r="C45" s="2" t="s">
        <v>58</v>
      </c>
      <c r="D45" s="2" t="s">
        <v>56</v>
      </c>
    </row>
  </sheetData>
  <conditionalFormatting sqref="C2:C45">
    <cfRule type="expression" dxfId="2" priority="1">
      <formula>C2="DEDUCT"</formula>
    </cfRule>
    <cfRule type="expression" dxfId="1" priority="2">
      <formula>C2="NO"</formula>
    </cfRule>
    <cfRule type="expression" dxfId="0" priority="3">
      <formula>ISNUMBER(SEARCH("CHECK",C2))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workbookViewId="0">
      <pane xSplit="2" ySplit="2" topLeftCell="C3" activePane="bottomRight" state="frozen"/>
      <selection pane="topRight"/>
      <selection pane="bottomLeft"/>
      <selection pane="bottomRight" activeCell="J2" sqref="J2:K2"/>
    </sheetView>
  </sheetViews>
  <sheetFormatPr defaultRowHeight="14.25"/>
  <cols>
    <col min="1" max="1" width="18" customWidth="1"/>
    <col min="2" max="2" width="30" customWidth="1"/>
    <col min="3" max="3" width="7" customWidth="1"/>
    <col min="4" max="5" width="12" customWidth="1"/>
    <col min="6" max="7" width="11" customWidth="1"/>
    <col min="8" max="8" width="15" customWidth="1"/>
    <col min="9" max="9" width="17" customWidth="1"/>
    <col min="10" max="10" width="23" customWidth="1"/>
    <col min="11" max="11" width="24" customWidth="1"/>
  </cols>
  <sheetData>
    <row r="1" spans="1:11" ht="27.95" customHeight="1">
      <c r="A1" s="40" t="s">
        <v>70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ht="32.1" customHeight="1">
      <c r="A2" s="3" t="s">
        <v>71</v>
      </c>
      <c r="B2" s="3" t="s">
        <v>72</v>
      </c>
      <c r="C2" s="3" t="s">
        <v>73</v>
      </c>
      <c r="D2" s="3" t="s">
        <v>74</v>
      </c>
      <c r="E2" s="3" t="s">
        <v>75</v>
      </c>
      <c r="F2" s="3" t="s">
        <v>76</v>
      </c>
      <c r="G2" s="3" t="s">
        <v>77</v>
      </c>
      <c r="H2" s="3" t="s">
        <v>130</v>
      </c>
      <c r="I2" s="3" t="s">
        <v>78</v>
      </c>
      <c r="J2" s="3" t="s">
        <v>131</v>
      </c>
      <c r="K2" s="3" t="s">
        <v>132</v>
      </c>
    </row>
    <row r="3" spans="1:11" ht="30.95" customHeight="1">
      <c r="A3" s="4" t="s">
        <v>79</v>
      </c>
      <c r="B3" s="5" t="s">
        <v>45</v>
      </c>
      <c r="C3" s="12">
        <v>1</v>
      </c>
      <c r="D3" s="17">
        <v>16.61</v>
      </c>
      <c r="E3" s="17">
        <v>7.09</v>
      </c>
      <c r="F3" s="17">
        <v>2.5</v>
      </c>
      <c r="G3" s="17">
        <v>0.88</v>
      </c>
      <c r="H3" s="17"/>
      <c r="I3" s="21">
        <f t="shared" ref="I3:I34" si="0">IF(H3&lt;&gt;"",H3,IF(AND(C3&lt;&gt;"",D3&lt;&gt;"",E3&lt;&gt;"",F3&lt;&gt;"",G3&lt;&gt;""),C3*D3*E3*F3*G3,""))</f>
        <v>259.08277999999996</v>
      </c>
      <c r="J3" s="5" t="s">
        <v>46</v>
      </c>
      <c r="K3" s="24" t="s">
        <v>4</v>
      </c>
    </row>
    <row r="4" spans="1:11" ht="30.95" customHeight="1">
      <c r="A4" s="25" t="s">
        <v>79</v>
      </c>
      <c r="B4" s="26" t="s">
        <v>48</v>
      </c>
      <c r="C4" s="27">
        <v>1</v>
      </c>
      <c r="D4" s="18">
        <v>9.8800000000000008</v>
      </c>
      <c r="E4" s="18">
        <v>9.74</v>
      </c>
      <c r="F4" s="18">
        <v>2.5</v>
      </c>
      <c r="G4" s="18">
        <v>0.92</v>
      </c>
      <c r="H4" s="18"/>
      <c r="I4" s="22">
        <f t="shared" si="0"/>
        <v>221.33176000000003</v>
      </c>
      <c r="J4" s="26" t="s">
        <v>3</v>
      </c>
      <c r="K4" s="28" t="s">
        <v>38</v>
      </c>
    </row>
    <row r="5" spans="1:11" ht="30.95" customHeight="1">
      <c r="A5" s="6" t="s">
        <v>79</v>
      </c>
      <c r="B5" s="7" t="s">
        <v>37</v>
      </c>
      <c r="C5" s="13">
        <v>1</v>
      </c>
      <c r="D5" s="18">
        <v>9.69</v>
      </c>
      <c r="E5" s="18">
        <v>5.52</v>
      </c>
      <c r="F5" s="18">
        <v>2.5</v>
      </c>
      <c r="G5" s="18">
        <v>1</v>
      </c>
      <c r="H5" s="18"/>
      <c r="I5" s="22">
        <f t="shared" si="0"/>
        <v>133.72199999999998</v>
      </c>
      <c r="J5" s="7" t="s">
        <v>3</v>
      </c>
      <c r="K5" s="28" t="s">
        <v>38</v>
      </c>
    </row>
    <row r="6" spans="1:11" ht="30.95" customHeight="1">
      <c r="A6" s="25" t="s">
        <v>79</v>
      </c>
      <c r="B6" s="26" t="s">
        <v>59</v>
      </c>
      <c r="C6" s="27">
        <v>1</v>
      </c>
      <c r="D6" s="18">
        <v>6.46</v>
      </c>
      <c r="E6" s="18">
        <v>4.55</v>
      </c>
      <c r="F6" s="18">
        <v>2.5</v>
      </c>
      <c r="G6" s="18">
        <v>1</v>
      </c>
      <c r="H6" s="18"/>
      <c r="I6" s="22">
        <f t="shared" si="0"/>
        <v>73.482499999999987</v>
      </c>
      <c r="J6" s="26" t="s">
        <v>3</v>
      </c>
      <c r="K6" s="29" t="s">
        <v>17</v>
      </c>
    </row>
    <row r="7" spans="1:11" ht="30.95" customHeight="1">
      <c r="A7" s="6" t="s">
        <v>79</v>
      </c>
      <c r="B7" s="7" t="s">
        <v>61</v>
      </c>
      <c r="C7" s="13">
        <v>1</v>
      </c>
      <c r="D7" s="18">
        <v>8</v>
      </c>
      <c r="E7" s="18">
        <v>4.55</v>
      </c>
      <c r="F7" s="18">
        <v>2.5</v>
      </c>
      <c r="G7" s="18">
        <v>1</v>
      </c>
      <c r="H7" s="18"/>
      <c r="I7" s="22">
        <f t="shared" si="0"/>
        <v>91</v>
      </c>
      <c r="J7" s="7" t="s">
        <v>3</v>
      </c>
      <c r="K7" s="29" t="s">
        <v>17</v>
      </c>
    </row>
    <row r="8" spans="1:11" ht="30.95" customHeight="1">
      <c r="A8" s="25" t="s">
        <v>80</v>
      </c>
      <c r="B8" s="26" t="s">
        <v>51</v>
      </c>
      <c r="C8" s="27">
        <v>1</v>
      </c>
      <c r="D8" s="18">
        <v>6.86</v>
      </c>
      <c r="E8" s="18">
        <v>6.13</v>
      </c>
      <c r="F8" s="18">
        <v>2.4</v>
      </c>
      <c r="G8" s="18">
        <v>0.85</v>
      </c>
      <c r="H8" s="18"/>
      <c r="I8" s="22">
        <f t="shared" si="0"/>
        <v>85.785671999999991</v>
      </c>
      <c r="J8" s="26" t="s">
        <v>3</v>
      </c>
      <c r="K8" s="28" t="s">
        <v>4</v>
      </c>
    </row>
    <row r="9" spans="1:11" ht="30.95" customHeight="1">
      <c r="A9" s="6" t="s">
        <v>80</v>
      </c>
      <c r="B9" s="7" t="s">
        <v>81</v>
      </c>
      <c r="C9" s="13">
        <v>1</v>
      </c>
      <c r="D9" s="18">
        <v>6.77</v>
      </c>
      <c r="E9" s="18">
        <v>3.88</v>
      </c>
      <c r="F9" s="18">
        <v>2.4</v>
      </c>
      <c r="G9" s="18">
        <v>1</v>
      </c>
      <c r="H9" s="18"/>
      <c r="I9" s="22">
        <f t="shared" si="0"/>
        <v>63.042239999999993</v>
      </c>
      <c r="J9" s="7" t="s">
        <v>3</v>
      </c>
      <c r="K9" s="29" t="s">
        <v>17</v>
      </c>
    </row>
    <row r="10" spans="1:11" ht="30.95" customHeight="1">
      <c r="A10" s="25" t="s">
        <v>80</v>
      </c>
      <c r="B10" s="26" t="s">
        <v>82</v>
      </c>
      <c r="C10" s="27">
        <v>1</v>
      </c>
      <c r="D10" s="18">
        <v>4.8099999999999996</v>
      </c>
      <c r="E10" s="18">
        <v>2.25</v>
      </c>
      <c r="F10" s="18">
        <v>2.4</v>
      </c>
      <c r="G10" s="18">
        <v>1</v>
      </c>
      <c r="H10" s="18"/>
      <c r="I10" s="22">
        <f t="shared" si="0"/>
        <v>25.974</v>
      </c>
      <c r="J10" s="26" t="s">
        <v>3</v>
      </c>
      <c r="K10" s="28" t="s">
        <v>4</v>
      </c>
    </row>
    <row r="11" spans="1:11" ht="30.95" customHeight="1">
      <c r="A11" s="6" t="s">
        <v>80</v>
      </c>
      <c r="B11" s="7" t="s">
        <v>83</v>
      </c>
      <c r="C11" s="13">
        <v>1</v>
      </c>
      <c r="D11" s="18">
        <v>1.96</v>
      </c>
      <c r="E11" s="18">
        <v>2.25</v>
      </c>
      <c r="F11" s="18">
        <v>2.4</v>
      </c>
      <c r="G11" s="18">
        <v>1</v>
      </c>
      <c r="H11" s="18"/>
      <c r="I11" s="22">
        <f t="shared" si="0"/>
        <v>10.584</v>
      </c>
      <c r="J11" s="7" t="s">
        <v>3</v>
      </c>
      <c r="K11" s="28" t="s">
        <v>4</v>
      </c>
    </row>
    <row r="12" spans="1:11" ht="30.95" customHeight="1">
      <c r="A12" s="25" t="s">
        <v>80</v>
      </c>
      <c r="B12" s="26" t="s">
        <v>84</v>
      </c>
      <c r="C12" s="27">
        <v>1</v>
      </c>
      <c r="D12" s="18">
        <v>4.1399999999999997</v>
      </c>
      <c r="E12" s="18">
        <v>4.07</v>
      </c>
      <c r="F12" s="18">
        <v>2.4</v>
      </c>
      <c r="G12" s="18">
        <v>1</v>
      </c>
      <c r="H12" s="18"/>
      <c r="I12" s="22">
        <f t="shared" si="0"/>
        <v>40.439519999999995</v>
      </c>
      <c r="J12" s="26" t="s">
        <v>3</v>
      </c>
      <c r="K12" s="29" t="s">
        <v>17</v>
      </c>
    </row>
    <row r="13" spans="1:11" ht="30.95" customHeight="1">
      <c r="A13" s="6" t="s">
        <v>80</v>
      </c>
      <c r="B13" s="7" t="s">
        <v>85</v>
      </c>
      <c r="C13" s="13">
        <v>4</v>
      </c>
      <c r="D13" s="18">
        <v>3.32</v>
      </c>
      <c r="E13" s="18">
        <v>4.1399999999999997</v>
      </c>
      <c r="F13" s="18">
        <v>2.4</v>
      </c>
      <c r="G13" s="18">
        <v>1</v>
      </c>
      <c r="H13" s="18"/>
      <c r="I13" s="22">
        <f t="shared" si="0"/>
        <v>131.95007999999999</v>
      </c>
      <c r="J13" s="7" t="s">
        <v>3</v>
      </c>
      <c r="K13" s="28" t="s">
        <v>4</v>
      </c>
    </row>
    <row r="14" spans="1:11" ht="30.95" customHeight="1">
      <c r="A14" s="25" t="s">
        <v>80</v>
      </c>
      <c r="B14" s="26" t="s">
        <v>86</v>
      </c>
      <c r="C14" s="27">
        <v>2</v>
      </c>
      <c r="D14" s="18">
        <v>3.14</v>
      </c>
      <c r="E14" s="18">
        <v>4.1399999999999997</v>
      </c>
      <c r="F14" s="18">
        <v>2.4</v>
      </c>
      <c r="G14" s="18">
        <v>1</v>
      </c>
      <c r="H14" s="18"/>
      <c r="I14" s="22">
        <f t="shared" si="0"/>
        <v>62.398079999999993</v>
      </c>
      <c r="J14" s="26" t="s">
        <v>3</v>
      </c>
      <c r="K14" s="28" t="s">
        <v>4</v>
      </c>
    </row>
    <row r="15" spans="1:11" ht="30.95" customHeight="1">
      <c r="A15" s="6" t="s">
        <v>80</v>
      </c>
      <c r="B15" s="7" t="s">
        <v>49</v>
      </c>
      <c r="C15" s="13">
        <v>1</v>
      </c>
      <c r="D15" s="18">
        <v>6.03</v>
      </c>
      <c r="E15" s="18">
        <v>5.55</v>
      </c>
      <c r="F15" s="18">
        <v>2.4</v>
      </c>
      <c r="G15" s="18">
        <v>1</v>
      </c>
      <c r="H15" s="18"/>
      <c r="I15" s="22">
        <f t="shared" si="0"/>
        <v>80.319600000000008</v>
      </c>
      <c r="J15" s="7" t="s">
        <v>3</v>
      </c>
      <c r="K15" s="29" t="s">
        <v>17</v>
      </c>
    </row>
    <row r="16" spans="1:11" ht="30.95" customHeight="1">
      <c r="A16" s="25" t="s">
        <v>80</v>
      </c>
      <c r="B16" s="26" t="s">
        <v>62</v>
      </c>
      <c r="C16" s="27">
        <v>1</v>
      </c>
      <c r="D16" s="18">
        <v>6.29</v>
      </c>
      <c r="E16" s="18">
        <v>3.17</v>
      </c>
      <c r="F16" s="18">
        <v>2.4</v>
      </c>
      <c r="G16" s="18">
        <v>0.9</v>
      </c>
      <c r="H16" s="18"/>
      <c r="I16" s="22">
        <f t="shared" si="0"/>
        <v>43.068887999999994</v>
      </c>
      <c r="J16" s="26" t="s">
        <v>3</v>
      </c>
      <c r="K16" s="30" t="s">
        <v>58</v>
      </c>
    </row>
    <row r="17" spans="1:11" ht="30.95" customHeight="1">
      <c r="A17" s="6" t="s">
        <v>80</v>
      </c>
      <c r="B17" s="7" t="s">
        <v>87</v>
      </c>
      <c r="C17" s="13">
        <v>1</v>
      </c>
      <c r="D17" s="18">
        <v>4.87</v>
      </c>
      <c r="E17" s="18">
        <v>2.1800000000000002</v>
      </c>
      <c r="F17" s="18">
        <v>2.4</v>
      </c>
      <c r="G17" s="18">
        <v>1</v>
      </c>
      <c r="H17" s="18"/>
      <c r="I17" s="22">
        <f t="shared" si="0"/>
        <v>25.479840000000003</v>
      </c>
      <c r="J17" s="7" t="s">
        <v>3</v>
      </c>
      <c r="K17" s="30" t="s">
        <v>58</v>
      </c>
    </row>
    <row r="18" spans="1:11" ht="30.95" customHeight="1">
      <c r="A18" s="25" t="s">
        <v>80</v>
      </c>
      <c r="B18" s="26" t="s">
        <v>88</v>
      </c>
      <c r="C18" s="27">
        <v>1</v>
      </c>
      <c r="D18" s="18">
        <v>4.87</v>
      </c>
      <c r="E18" s="18">
        <v>2.1800000000000002</v>
      </c>
      <c r="F18" s="18">
        <v>2.4</v>
      </c>
      <c r="G18" s="18">
        <v>1</v>
      </c>
      <c r="H18" s="18"/>
      <c r="I18" s="22">
        <f t="shared" si="0"/>
        <v>25.479840000000003</v>
      </c>
      <c r="J18" s="26" t="s">
        <v>3</v>
      </c>
      <c r="K18" s="30" t="s">
        <v>58</v>
      </c>
    </row>
    <row r="19" spans="1:11" ht="30.95" customHeight="1">
      <c r="A19" s="6" t="s">
        <v>80</v>
      </c>
      <c r="B19" s="7" t="s">
        <v>89</v>
      </c>
      <c r="C19" s="13">
        <v>1</v>
      </c>
      <c r="D19" s="18">
        <v>6.29</v>
      </c>
      <c r="E19" s="18">
        <v>2.5</v>
      </c>
      <c r="F19" s="18">
        <v>2.4</v>
      </c>
      <c r="G19" s="18">
        <v>1</v>
      </c>
      <c r="H19" s="18"/>
      <c r="I19" s="22">
        <f t="shared" si="0"/>
        <v>37.739999999999995</v>
      </c>
      <c r="J19" s="7" t="s">
        <v>3</v>
      </c>
      <c r="K19" s="30" t="s">
        <v>58</v>
      </c>
    </row>
    <row r="20" spans="1:11" ht="30.95" customHeight="1">
      <c r="A20" s="25" t="s">
        <v>80</v>
      </c>
      <c r="B20" s="26" t="s">
        <v>90</v>
      </c>
      <c r="C20" s="27">
        <v>1</v>
      </c>
      <c r="D20" s="18">
        <v>4.87</v>
      </c>
      <c r="E20" s="18">
        <v>3.59</v>
      </c>
      <c r="F20" s="18">
        <v>2.4</v>
      </c>
      <c r="G20" s="18">
        <v>1</v>
      </c>
      <c r="H20" s="18"/>
      <c r="I20" s="22">
        <f t="shared" si="0"/>
        <v>41.959919999999997</v>
      </c>
      <c r="J20" s="26" t="s">
        <v>3</v>
      </c>
      <c r="K20" s="28" t="s">
        <v>4</v>
      </c>
    </row>
    <row r="21" spans="1:11" ht="30.95" customHeight="1">
      <c r="A21" s="6" t="s">
        <v>91</v>
      </c>
      <c r="B21" s="7" t="s">
        <v>57</v>
      </c>
      <c r="C21" s="13">
        <v>1</v>
      </c>
      <c r="D21" s="18">
        <v>1.48</v>
      </c>
      <c r="E21" s="18">
        <v>6.09</v>
      </c>
      <c r="F21" s="18">
        <v>2.4</v>
      </c>
      <c r="G21" s="18">
        <v>1</v>
      </c>
      <c r="H21" s="18"/>
      <c r="I21" s="22">
        <f t="shared" si="0"/>
        <v>21.631679999999999</v>
      </c>
      <c r="J21" s="7" t="s">
        <v>3</v>
      </c>
      <c r="K21" s="30" t="s">
        <v>58</v>
      </c>
    </row>
    <row r="22" spans="1:11" ht="30.95" customHeight="1">
      <c r="A22" s="25" t="s">
        <v>91</v>
      </c>
      <c r="B22" s="26" t="s">
        <v>53</v>
      </c>
      <c r="C22" s="27">
        <v>1</v>
      </c>
      <c r="D22" s="18">
        <v>3.14</v>
      </c>
      <c r="E22" s="18">
        <v>6.09</v>
      </c>
      <c r="F22" s="18">
        <v>2.4</v>
      </c>
      <c r="G22" s="18">
        <v>1</v>
      </c>
      <c r="H22" s="18"/>
      <c r="I22" s="22">
        <f t="shared" si="0"/>
        <v>45.894240000000003</v>
      </c>
      <c r="J22" s="26" t="s">
        <v>3</v>
      </c>
      <c r="K22" s="29" t="s">
        <v>17</v>
      </c>
    </row>
    <row r="23" spans="1:11" ht="30.95" customHeight="1">
      <c r="A23" s="6" t="s">
        <v>91</v>
      </c>
      <c r="B23" s="7" t="s">
        <v>54</v>
      </c>
      <c r="C23" s="13">
        <v>1</v>
      </c>
      <c r="D23" s="18">
        <v>0.8</v>
      </c>
      <c r="E23" s="18">
        <v>2.85</v>
      </c>
      <c r="F23" s="18">
        <v>2.4</v>
      </c>
      <c r="G23" s="18">
        <v>1</v>
      </c>
      <c r="H23" s="18"/>
      <c r="I23" s="22">
        <f t="shared" si="0"/>
        <v>5.4720000000000004</v>
      </c>
      <c r="J23" s="7" t="s">
        <v>3</v>
      </c>
      <c r="K23" s="29" t="s">
        <v>55</v>
      </c>
    </row>
    <row r="24" spans="1:11" ht="30.95" customHeight="1">
      <c r="A24" s="25" t="s">
        <v>91</v>
      </c>
      <c r="B24" s="26" t="s">
        <v>92</v>
      </c>
      <c r="C24" s="27">
        <v>1</v>
      </c>
      <c r="D24" s="18">
        <v>7.89</v>
      </c>
      <c r="E24" s="18">
        <v>6.06</v>
      </c>
      <c r="F24" s="18">
        <v>2.4</v>
      </c>
      <c r="G24" s="18">
        <v>1</v>
      </c>
      <c r="H24" s="18"/>
      <c r="I24" s="22">
        <f t="shared" si="0"/>
        <v>114.75215999999999</v>
      </c>
      <c r="J24" s="26" t="s">
        <v>3</v>
      </c>
      <c r="K24" s="28" t="s">
        <v>4</v>
      </c>
    </row>
    <row r="25" spans="1:11" ht="30.95" customHeight="1">
      <c r="A25" s="6" t="s">
        <v>91</v>
      </c>
      <c r="B25" s="7" t="s">
        <v>24</v>
      </c>
      <c r="C25" s="13">
        <v>1</v>
      </c>
      <c r="D25" s="18">
        <v>3.94</v>
      </c>
      <c r="E25" s="18">
        <v>4.3</v>
      </c>
      <c r="F25" s="18">
        <v>2.4</v>
      </c>
      <c r="G25" s="18">
        <v>1</v>
      </c>
      <c r="H25" s="18"/>
      <c r="I25" s="22">
        <f t="shared" si="0"/>
        <v>40.660800000000002</v>
      </c>
      <c r="J25" s="7" t="s">
        <v>3</v>
      </c>
      <c r="K25" s="28" t="s">
        <v>4</v>
      </c>
    </row>
    <row r="26" spans="1:11" ht="30.95" customHeight="1">
      <c r="A26" s="25" t="s">
        <v>91</v>
      </c>
      <c r="B26" s="26" t="s">
        <v>86</v>
      </c>
      <c r="C26" s="27">
        <v>2</v>
      </c>
      <c r="D26" s="18">
        <v>3.95</v>
      </c>
      <c r="E26" s="18">
        <v>4.3</v>
      </c>
      <c r="F26" s="18">
        <v>2.4</v>
      </c>
      <c r="G26" s="18">
        <v>1</v>
      </c>
      <c r="H26" s="18"/>
      <c r="I26" s="22">
        <f t="shared" si="0"/>
        <v>81.527999999999992</v>
      </c>
      <c r="J26" s="26" t="s">
        <v>3</v>
      </c>
      <c r="K26" s="28" t="s">
        <v>4</v>
      </c>
    </row>
    <row r="27" spans="1:11" ht="30.95" customHeight="1">
      <c r="A27" s="6" t="s">
        <v>91</v>
      </c>
      <c r="B27" s="7" t="s">
        <v>21</v>
      </c>
      <c r="C27" s="13">
        <v>1</v>
      </c>
      <c r="D27" s="18">
        <v>7.09</v>
      </c>
      <c r="E27" s="18">
        <v>6.06</v>
      </c>
      <c r="F27" s="18">
        <v>2.4</v>
      </c>
      <c r="G27" s="18">
        <v>1</v>
      </c>
      <c r="H27" s="18"/>
      <c r="I27" s="22">
        <f t="shared" si="0"/>
        <v>103.11695999999999</v>
      </c>
      <c r="J27" s="7" t="s">
        <v>3</v>
      </c>
      <c r="K27" s="28" t="s">
        <v>4</v>
      </c>
    </row>
    <row r="28" spans="1:11" ht="30.95" customHeight="1">
      <c r="A28" s="25" t="s">
        <v>91</v>
      </c>
      <c r="B28" s="26" t="s">
        <v>93</v>
      </c>
      <c r="C28" s="27">
        <v>1</v>
      </c>
      <c r="D28" s="18">
        <v>3.94</v>
      </c>
      <c r="E28" s="18">
        <v>4.3</v>
      </c>
      <c r="F28" s="18">
        <v>2.4</v>
      </c>
      <c r="G28" s="18">
        <v>1</v>
      </c>
      <c r="H28" s="18"/>
      <c r="I28" s="22">
        <f t="shared" si="0"/>
        <v>40.660800000000002</v>
      </c>
      <c r="J28" s="26" t="s">
        <v>3</v>
      </c>
      <c r="K28" s="28" t="s">
        <v>4</v>
      </c>
    </row>
    <row r="29" spans="1:11" ht="30.95" customHeight="1">
      <c r="A29" s="6" t="s">
        <v>91</v>
      </c>
      <c r="B29" s="7" t="s">
        <v>85</v>
      </c>
      <c r="C29" s="13">
        <v>2</v>
      </c>
      <c r="D29" s="18">
        <v>3.96</v>
      </c>
      <c r="E29" s="18">
        <v>4.3</v>
      </c>
      <c r="F29" s="18">
        <v>2.4</v>
      </c>
      <c r="G29" s="18">
        <v>1</v>
      </c>
      <c r="H29" s="18"/>
      <c r="I29" s="22">
        <f t="shared" si="0"/>
        <v>81.734399999999994</v>
      </c>
      <c r="J29" s="7" t="s">
        <v>3</v>
      </c>
      <c r="K29" s="28" t="s">
        <v>4</v>
      </c>
    </row>
    <row r="30" spans="1:11" ht="30.95" customHeight="1">
      <c r="A30" s="25" t="s">
        <v>91</v>
      </c>
      <c r="B30" s="26" t="s">
        <v>94</v>
      </c>
      <c r="C30" s="27">
        <v>1</v>
      </c>
      <c r="D30" s="18">
        <v>4.78</v>
      </c>
      <c r="E30" s="18">
        <v>6.06</v>
      </c>
      <c r="F30" s="18">
        <v>2.4</v>
      </c>
      <c r="G30" s="18">
        <v>1</v>
      </c>
      <c r="H30" s="18"/>
      <c r="I30" s="22">
        <f t="shared" si="0"/>
        <v>69.520319999999998</v>
      </c>
      <c r="J30" s="26" t="s">
        <v>3</v>
      </c>
      <c r="K30" s="28" t="s">
        <v>4</v>
      </c>
    </row>
    <row r="31" spans="1:11" ht="30.95" customHeight="1">
      <c r="A31" s="6" t="s">
        <v>95</v>
      </c>
      <c r="B31" s="7" t="s">
        <v>85</v>
      </c>
      <c r="C31" s="13">
        <v>3</v>
      </c>
      <c r="D31" s="18">
        <v>3.33</v>
      </c>
      <c r="E31" s="18">
        <v>5.26</v>
      </c>
      <c r="F31" s="18">
        <v>2.4</v>
      </c>
      <c r="G31" s="18">
        <v>1</v>
      </c>
      <c r="H31" s="18"/>
      <c r="I31" s="22">
        <f t="shared" si="0"/>
        <v>126.11375999999998</v>
      </c>
      <c r="J31" s="7" t="s">
        <v>3</v>
      </c>
      <c r="K31" s="28" t="s">
        <v>4</v>
      </c>
    </row>
    <row r="32" spans="1:11" ht="30.95" customHeight="1">
      <c r="A32" s="25" t="s">
        <v>95</v>
      </c>
      <c r="B32" s="26" t="s">
        <v>96</v>
      </c>
      <c r="C32" s="27">
        <v>1</v>
      </c>
      <c r="D32" s="18">
        <v>1.64</v>
      </c>
      <c r="E32" s="18">
        <v>5.26</v>
      </c>
      <c r="F32" s="18">
        <v>2.4</v>
      </c>
      <c r="G32" s="18">
        <v>1</v>
      </c>
      <c r="H32" s="18"/>
      <c r="I32" s="22">
        <f t="shared" si="0"/>
        <v>20.703359999999996</v>
      </c>
      <c r="J32" s="26" t="s">
        <v>3</v>
      </c>
      <c r="K32" s="30" t="s">
        <v>58</v>
      </c>
    </row>
    <row r="33" spans="1:11" ht="30.95" customHeight="1">
      <c r="A33" s="6" t="s">
        <v>95</v>
      </c>
      <c r="B33" s="7" t="s">
        <v>97</v>
      </c>
      <c r="C33" s="13">
        <v>1</v>
      </c>
      <c r="D33" s="18">
        <v>3.88</v>
      </c>
      <c r="E33" s="18">
        <v>5.26</v>
      </c>
      <c r="F33" s="18">
        <v>2.4</v>
      </c>
      <c r="G33" s="18">
        <v>1</v>
      </c>
      <c r="H33" s="18"/>
      <c r="I33" s="22">
        <f t="shared" si="0"/>
        <v>48.981119999999997</v>
      </c>
      <c r="J33" s="7" t="s">
        <v>3</v>
      </c>
      <c r="K33" s="28" t="s">
        <v>4</v>
      </c>
    </row>
    <row r="34" spans="1:11" ht="30.95" customHeight="1">
      <c r="A34" s="25" t="s">
        <v>95</v>
      </c>
      <c r="B34" s="26" t="s">
        <v>98</v>
      </c>
      <c r="C34" s="27">
        <v>1</v>
      </c>
      <c r="D34" s="18">
        <v>3.94</v>
      </c>
      <c r="E34" s="18">
        <v>5.26</v>
      </c>
      <c r="F34" s="18">
        <v>2.4</v>
      </c>
      <c r="G34" s="18">
        <v>1</v>
      </c>
      <c r="H34" s="18"/>
      <c r="I34" s="22">
        <f t="shared" si="0"/>
        <v>49.73856</v>
      </c>
      <c r="J34" s="26" t="s">
        <v>3</v>
      </c>
      <c r="K34" s="28" t="s">
        <v>4</v>
      </c>
    </row>
    <row r="35" spans="1:11" ht="30.95" customHeight="1">
      <c r="A35" s="6" t="s">
        <v>95</v>
      </c>
      <c r="B35" s="7" t="s">
        <v>99</v>
      </c>
      <c r="C35" s="13">
        <v>1</v>
      </c>
      <c r="D35" s="18">
        <v>7.86</v>
      </c>
      <c r="E35" s="18">
        <v>4.33</v>
      </c>
      <c r="F35" s="18">
        <v>2.4</v>
      </c>
      <c r="G35" s="18">
        <v>1</v>
      </c>
      <c r="H35" s="18"/>
      <c r="I35" s="22">
        <f t="shared" ref="I35:I66" si="1">IF(H35&lt;&gt;"",H35,IF(AND(C35&lt;&gt;"",D35&lt;&gt;"",E35&lt;&gt;"",F35&lt;&gt;"",G35&lt;&gt;""),C35*D35*E35*F35*G35,""))</f>
        <v>81.681119999999993</v>
      </c>
      <c r="J35" s="7" t="s">
        <v>3</v>
      </c>
      <c r="K35" s="28" t="s">
        <v>4</v>
      </c>
    </row>
    <row r="36" spans="1:11" ht="30.95" customHeight="1">
      <c r="A36" s="25" t="s">
        <v>95</v>
      </c>
      <c r="B36" s="26" t="s">
        <v>100</v>
      </c>
      <c r="C36" s="27">
        <v>1</v>
      </c>
      <c r="D36" s="18">
        <v>3.85</v>
      </c>
      <c r="E36" s="18">
        <v>4.33</v>
      </c>
      <c r="F36" s="18">
        <v>2.4</v>
      </c>
      <c r="G36" s="18">
        <v>1</v>
      </c>
      <c r="H36" s="18"/>
      <c r="I36" s="22">
        <f t="shared" si="1"/>
        <v>40.0092</v>
      </c>
      <c r="J36" s="26" t="s">
        <v>3</v>
      </c>
      <c r="K36" s="28" t="s">
        <v>4</v>
      </c>
    </row>
    <row r="37" spans="1:11" ht="30.95" customHeight="1">
      <c r="A37" s="6" t="s">
        <v>95</v>
      </c>
      <c r="B37" s="7" t="s">
        <v>101</v>
      </c>
      <c r="C37" s="13">
        <v>1</v>
      </c>
      <c r="D37" s="18">
        <v>3.91</v>
      </c>
      <c r="E37" s="18">
        <v>4.33</v>
      </c>
      <c r="F37" s="18">
        <v>2.4</v>
      </c>
      <c r="G37" s="18">
        <v>1</v>
      </c>
      <c r="H37" s="18"/>
      <c r="I37" s="22">
        <f t="shared" si="1"/>
        <v>40.632720000000006</v>
      </c>
      <c r="J37" s="7" t="s">
        <v>3</v>
      </c>
      <c r="K37" s="28" t="s">
        <v>4</v>
      </c>
    </row>
    <row r="38" spans="1:11" ht="30.95" customHeight="1">
      <c r="A38" s="25" t="s">
        <v>95</v>
      </c>
      <c r="B38" s="26" t="s">
        <v>102</v>
      </c>
      <c r="C38" s="27">
        <v>1</v>
      </c>
      <c r="D38" s="18">
        <v>7.82</v>
      </c>
      <c r="E38" s="18">
        <v>4.33</v>
      </c>
      <c r="F38" s="18">
        <v>2.4</v>
      </c>
      <c r="G38" s="18">
        <v>1</v>
      </c>
      <c r="H38" s="18"/>
      <c r="I38" s="22">
        <f t="shared" si="1"/>
        <v>81.265440000000012</v>
      </c>
      <c r="J38" s="26" t="s">
        <v>3</v>
      </c>
      <c r="K38" s="28" t="s">
        <v>4</v>
      </c>
    </row>
    <row r="39" spans="1:11" ht="30.95" customHeight="1">
      <c r="A39" s="6" t="s">
        <v>103</v>
      </c>
      <c r="B39" s="7" t="s">
        <v>104</v>
      </c>
      <c r="C39" s="13">
        <v>1</v>
      </c>
      <c r="D39" s="18">
        <v>4.01</v>
      </c>
      <c r="E39" s="18">
        <v>5.2</v>
      </c>
      <c r="F39" s="18">
        <v>2.4</v>
      </c>
      <c r="G39" s="18">
        <v>1</v>
      </c>
      <c r="H39" s="18"/>
      <c r="I39" s="22">
        <f t="shared" si="1"/>
        <v>50.044800000000002</v>
      </c>
      <c r="J39" s="7" t="s">
        <v>3</v>
      </c>
      <c r="K39" s="28" t="s">
        <v>4</v>
      </c>
    </row>
    <row r="40" spans="1:11" ht="30.95" customHeight="1">
      <c r="A40" s="25" t="s">
        <v>103</v>
      </c>
      <c r="B40" s="26" t="s">
        <v>105</v>
      </c>
      <c r="C40" s="27">
        <v>1</v>
      </c>
      <c r="D40" s="18">
        <v>2.44</v>
      </c>
      <c r="E40" s="18">
        <v>5.2</v>
      </c>
      <c r="F40" s="18">
        <v>2.4</v>
      </c>
      <c r="G40" s="18">
        <v>1</v>
      </c>
      <c r="H40" s="18"/>
      <c r="I40" s="22">
        <f t="shared" si="1"/>
        <v>30.4512</v>
      </c>
      <c r="J40" s="26" t="s">
        <v>3</v>
      </c>
      <c r="K40" s="29" t="s">
        <v>17</v>
      </c>
    </row>
    <row r="41" spans="1:11" ht="30.95" customHeight="1">
      <c r="A41" s="6" t="s">
        <v>103</v>
      </c>
      <c r="B41" s="7" t="s">
        <v>106</v>
      </c>
      <c r="C41" s="13">
        <v>1</v>
      </c>
      <c r="D41" s="18">
        <v>1.44</v>
      </c>
      <c r="E41" s="18">
        <v>5.2</v>
      </c>
      <c r="F41" s="18">
        <v>2.4</v>
      </c>
      <c r="G41" s="18">
        <v>1</v>
      </c>
      <c r="H41" s="18"/>
      <c r="I41" s="22">
        <f t="shared" si="1"/>
        <v>17.9712</v>
      </c>
      <c r="J41" s="7" t="s">
        <v>3</v>
      </c>
      <c r="K41" s="30" t="s">
        <v>58</v>
      </c>
    </row>
    <row r="42" spans="1:11" ht="30.95" customHeight="1">
      <c r="A42" s="25" t="s">
        <v>103</v>
      </c>
      <c r="B42" s="26" t="s">
        <v>107</v>
      </c>
      <c r="C42" s="27">
        <v>1</v>
      </c>
      <c r="D42" s="18">
        <v>4.01</v>
      </c>
      <c r="E42" s="18">
        <v>5.2</v>
      </c>
      <c r="F42" s="18">
        <v>2.4</v>
      </c>
      <c r="G42" s="18">
        <v>1</v>
      </c>
      <c r="H42" s="18"/>
      <c r="I42" s="22">
        <f t="shared" si="1"/>
        <v>50.044800000000002</v>
      </c>
      <c r="J42" s="26" t="s">
        <v>3</v>
      </c>
      <c r="K42" s="29" t="s">
        <v>17</v>
      </c>
    </row>
    <row r="43" spans="1:11" ht="30.95" customHeight="1">
      <c r="A43" s="6" t="s">
        <v>103</v>
      </c>
      <c r="B43" s="7" t="s">
        <v>108</v>
      </c>
      <c r="C43" s="13">
        <v>1</v>
      </c>
      <c r="D43" s="18">
        <v>3.94</v>
      </c>
      <c r="E43" s="18">
        <v>5.2</v>
      </c>
      <c r="F43" s="18">
        <v>2.4</v>
      </c>
      <c r="G43" s="18">
        <v>1</v>
      </c>
      <c r="H43" s="18"/>
      <c r="I43" s="22">
        <f t="shared" si="1"/>
        <v>49.171199999999999</v>
      </c>
      <c r="J43" s="7" t="s">
        <v>3</v>
      </c>
      <c r="K43" s="28" t="s">
        <v>4</v>
      </c>
    </row>
    <row r="44" spans="1:11" ht="30.95" customHeight="1">
      <c r="A44" s="31" t="s">
        <v>103</v>
      </c>
      <c r="B44" s="32" t="s">
        <v>109</v>
      </c>
      <c r="C44" s="33">
        <v>1</v>
      </c>
      <c r="D44" s="19">
        <v>3.85</v>
      </c>
      <c r="E44" s="19">
        <v>5.2</v>
      </c>
      <c r="F44" s="19">
        <v>2.4</v>
      </c>
      <c r="G44" s="19">
        <v>1</v>
      </c>
      <c r="H44" s="18"/>
      <c r="I44" s="22">
        <f t="shared" si="1"/>
        <v>48.047999999999995</v>
      </c>
      <c r="J44" s="26" t="s">
        <v>3</v>
      </c>
      <c r="K44" s="28" t="s">
        <v>4</v>
      </c>
    </row>
    <row r="45" spans="1:11" ht="30.95" customHeight="1">
      <c r="A45" s="8" t="s">
        <v>103</v>
      </c>
      <c r="B45" s="9" t="s">
        <v>110</v>
      </c>
      <c r="C45" s="14">
        <v>1</v>
      </c>
      <c r="D45" s="19">
        <v>7.93</v>
      </c>
      <c r="E45" s="19">
        <v>4.33</v>
      </c>
      <c r="F45" s="19">
        <v>2.4</v>
      </c>
      <c r="G45" s="19">
        <v>1</v>
      </c>
      <c r="H45" s="18"/>
      <c r="I45" s="22">
        <f t="shared" si="1"/>
        <v>82.408559999999994</v>
      </c>
      <c r="J45" s="7" t="s">
        <v>3</v>
      </c>
      <c r="K45" s="28" t="s">
        <v>4</v>
      </c>
    </row>
    <row r="46" spans="1:11" ht="30.95" customHeight="1">
      <c r="A46" s="34" t="s">
        <v>103</v>
      </c>
      <c r="B46" s="35" t="s">
        <v>111</v>
      </c>
      <c r="C46" s="33">
        <v>1</v>
      </c>
      <c r="D46" s="19">
        <v>7.79</v>
      </c>
      <c r="E46" s="19">
        <v>4.33</v>
      </c>
      <c r="F46" s="19">
        <v>2.4</v>
      </c>
      <c r="G46" s="19">
        <v>1</v>
      </c>
      <c r="H46" s="18"/>
      <c r="I46" s="22">
        <f t="shared" si="1"/>
        <v>80.953679999999991</v>
      </c>
      <c r="J46" s="26" t="s">
        <v>3</v>
      </c>
      <c r="K46" s="29" t="s">
        <v>17</v>
      </c>
    </row>
    <row r="47" spans="1:11" ht="30.95" customHeight="1">
      <c r="A47" s="8" t="s">
        <v>103</v>
      </c>
      <c r="B47" s="9" t="s">
        <v>112</v>
      </c>
      <c r="C47" s="14">
        <v>1</v>
      </c>
      <c r="D47" s="19">
        <v>7.83</v>
      </c>
      <c r="E47" s="19">
        <v>4.33</v>
      </c>
      <c r="F47" s="19">
        <v>2.4</v>
      </c>
      <c r="G47" s="19">
        <v>1</v>
      </c>
      <c r="H47" s="18"/>
      <c r="I47" s="22">
        <f t="shared" si="1"/>
        <v>81.36936</v>
      </c>
      <c r="J47" s="7" t="s">
        <v>3</v>
      </c>
      <c r="K47" s="28" t="s">
        <v>4</v>
      </c>
    </row>
    <row r="48" spans="1:11" ht="30.95" customHeight="1">
      <c r="A48" s="25" t="s">
        <v>113</v>
      </c>
      <c r="B48" s="26" t="s">
        <v>114</v>
      </c>
      <c r="C48" s="36">
        <v>1</v>
      </c>
      <c r="D48" s="18">
        <v>3.62</v>
      </c>
      <c r="E48" s="18">
        <v>2.4</v>
      </c>
      <c r="F48" s="18">
        <v>2.4</v>
      </c>
      <c r="G48" s="18">
        <v>1</v>
      </c>
      <c r="H48" s="18"/>
      <c r="I48" s="22">
        <f t="shared" si="1"/>
        <v>20.851200000000002</v>
      </c>
      <c r="J48" s="26" t="s">
        <v>3</v>
      </c>
      <c r="K48" s="28" t="s">
        <v>4</v>
      </c>
    </row>
    <row r="49" spans="1:11" ht="30.95" customHeight="1">
      <c r="A49" s="6" t="s">
        <v>113</v>
      </c>
      <c r="B49" s="7" t="s">
        <v>115</v>
      </c>
      <c r="C49" s="15">
        <v>1</v>
      </c>
      <c r="D49" s="18">
        <v>3.62</v>
      </c>
      <c r="E49" s="18">
        <v>3.93</v>
      </c>
      <c r="F49" s="18">
        <v>2.4</v>
      </c>
      <c r="G49" s="18">
        <v>1</v>
      </c>
      <c r="H49" s="18"/>
      <c r="I49" s="22">
        <f t="shared" si="1"/>
        <v>34.143840000000004</v>
      </c>
      <c r="J49" s="7" t="s">
        <v>3</v>
      </c>
      <c r="K49" s="28" t="s">
        <v>4</v>
      </c>
    </row>
    <row r="50" spans="1:11" ht="30.95" customHeight="1">
      <c r="A50" s="25" t="s">
        <v>113</v>
      </c>
      <c r="B50" s="26" t="s">
        <v>116</v>
      </c>
      <c r="C50" s="36">
        <v>1</v>
      </c>
      <c r="D50" s="18">
        <v>1.89</v>
      </c>
      <c r="E50" s="18">
        <v>1.6</v>
      </c>
      <c r="F50" s="18">
        <v>2.4</v>
      </c>
      <c r="G50" s="18">
        <v>1</v>
      </c>
      <c r="H50" s="18"/>
      <c r="I50" s="22">
        <f t="shared" si="1"/>
        <v>7.2576000000000001</v>
      </c>
      <c r="J50" s="26" t="s">
        <v>3</v>
      </c>
      <c r="K50" s="29" t="s">
        <v>17</v>
      </c>
    </row>
    <row r="51" spans="1:11" ht="30.95" customHeight="1">
      <c r="A51" s="6" t="s">
        <v>113</v>
      </c>
      <c r="B51" s="7" t="s">
        <v>96</v>
      </c>
      <c r="C51" s="15">
        <v>1</v>
      </c>
      <c r="D51" s="18">
        <v>1.89</v>
      </c>
      <c r="E51" s="18">
        <v>2.37</v>
      </c>
      <c r="F51" s="18">
        <v>2.4</v>
      </c>
      <c r="G51" s="18">
        <v>1</v>
      </c>
      <c r="H51" s="18"/>
      <c r="I51" s="22">
        <f t="shared" si="1"/>
        <v>10.75032</v>
      </c>
      <c r="J51" s="7" t="s">
        <v>3</v>
      </c>
      <c r="K51" s="30" t="s">
        <v>58</v>
      </c>
    </row>
    <row r="52" spans="1:11" ht="30.95" customHeight="1">
      <c r="A52" s="25" t="s">
        <v>113</v>
      </c>
      <c r="B52" s="26" t="s">
        <v>117</v>
      </c>
      <c r="C52" s="36">
        <v>1</v>
      </c>
      <c r="D52" s="18">
        <v>15.14</v>
      </c>
      <c r="E52" s="18">
        <v>5.49</v>
      </c>
      <c r="F52" s="18">
        <v>2.4</v>
      </c>
      <c r="G52" s="18">
        <v>1</v>
      </c>
      <c r="H52" s="18"/>
      <c r="I52" s="22">
        <f t="shared" si="1"/>
        <v>199.48463999999998</v>
      </c>
      <c r="J52" s="26" t="s">
        <v>3</v>
      </c>
      <c r="K52" s="28" t="s">
        <v>4</v>
      </c>
    </row>
    <row r="53" spans="1:11" ht="30.95" customHeight="1">
      <c r="A53" s="6" t="s">
        <v>91</v>
      </c>
      <c r="B53" s="7" t="s">
        <v>118</v>
      </c>
      <c r="C53" s="15">
        <v>1</v>
      </c>
      <c r="D53" s="18">
        <v>7.76</v>
      </c>
      <c r="E53" s="18">
        <v>7.47</v>
      </c>
      <c r="F53" s="18">
        <v>2.4</v>
      </c>
      <c r="G53" s="18">
        <v>1</v>
      </c>
      <c r="H53" s="18"/>
      <c r="I53" s="22">
        <f t="shared" si="1"/>
        <v>139.12127999999998</v>
      </c>
      <c r="J53" s="7" t="s">
        <v>41</v>
      </c>
      <c r="K53" s="29" t="s">
        <v>42</v>
      </c>
    </row>
    <row r="54" spans="1:11" ht="30.95" customHeight="1">
      <c r="A54" s="25" t="s">
        <v>119</v>
      </c>
      <c r="B54" s="26" t="s">
        <v>120</v>
      </c>
      <c r="C54" s="36">
        <v>2</v>
      </c>
      <c r="D54" s="18">
        <v>7.86</v>
      </c>
      <c r="E54" s="18">
        <v>5.45</v>
      </c>
      <c r="F54" s="18">
        <v>2.4</v>
      </c>
      <c r="G54" s="18">
        <v>1</v>
      </c>
      <c r="H54" s="18"/>
      <c r="I54" s="22">
        <f t="shared" si="1"/>
        <v>205.61760000000001</v>
      </c>
      <c r="J54" s="26" t="s">
        <v>44</v>
      </c>
      <c r="K54" s="29" t="s">
        <v>42</v>
      </c>
    </row>
    <row r="55" spans="1:11" ht="30.95" customHeight="1">
      <c r="A55" s="10" t="s">
        <v>121</v>
      </c>
      <c r="B55" s="11" t="s">
        <v>122</v>
      </c>
      <c r="C55" s="16">
        <v>1</v>
      </c>
      <c r="D55" s="20"/>
      <c r="E55" s="20"/>
      <c r="F55" s="20"/>
      <c r="G55" s="20"/>
      <c r="H55" s="20"/>
      <c r="I55" s="23" t="str">
        <f t="shared" si="1"/>
        <v/>
      </c>
      <c r="J55" s="11" t="s">
        <v>3</v>
      </c>
      <c r="K55" s="37" t="s">
        <v>38</v>
      </c>
    </row>
    <row r="58" spans="1:11" ht="15.75">
      <c r="A58" s="41" t="s">
        <v>123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</row>
    <row r="59" spans="1:11" ht="15">
      <c r="A59" s="42" t="s">
        <v>124</v>
      </c>
      <c r="B59" s="42"/>
      <c r="C59" s="42"/>
      <c r="D59" s="42"/>
      <c r="E59" s="42"/>
      <c r="F59" s="42"/>
      <c r="G59" s="42"/>
      <c r="H59" s="42"/>
      <c r="I59" s="38">
        <f>SUM(I3:I55)</f>
        <v>3654.6266400000004</v>
      </c>
      <c r="J59" s="43" t="s">
        <v>125</v>
      </c>
      <c r="K59" s="43"/>
    </row>
    <row r="60" spans="1:11" ht="15">
      <c r="A60" s="42" t="s">
        <v>126</v>
      </c>
      <c r="B60" s="42"/>
      <c r="C60" s="42"/>
      <c r="D60" s="42"/>
      <c r="E60" s="42"/>
      <c r="F60" s="42"/>
      <c r="G60" s="42"/>
      <c r="H60" s="42"/>
      <c r="I60" s="38">
        <f>SUMIF(K3:K55,"DEDUCT",I3:I55)+SUMIF(K3:K55,"DEDUCT AS MACHINERY",I3:I55)</f>
        <v>2538.7052519999997</v>
      </c>
      <c r="J60" s="43"/>
      <c r="K60" s="43"/>
    </row>
    <row r="61" spans="1:11" ht="15">
      <c r="A61" s="42" t="s">
        <v>127</v>
      </c>
      <c r="B61" s="42"/>
      <c r="C61" s="42"/>
      <c r="D61" s="42"/>
      <c r="E61" s="42"/>
      <c r="F61" s="42"/>
      <c r="G61" s="42"/>
      <c r="H61" s="42"/>
      <c r="I61" s="38">
        <f>SUMIF(K3:K55,"CHECK / CONDITIONAL",I3:I55)+SUMIF(K3:K55,"MACHINERY TREATMENT",I3:I55)+SUMIF(K3:K55,"NOT AUTOMATIC",I3:I55)</f>
        <v>913.09626000000003</v>
      </c>
      <c r="J61" s="43"/>
      <c r="K61" s="43"/>
    </row>
    <row r="62" spans="1:11" ht="15">
      <c r="A62" s="42" t="s">
        <v>128</v>
      </c>
      <c r="B62" s="42"/>
      <c r="C62" s="42"/>
      <c r="D62" s="42"/>
      <c r="E62" s="42"/>
      <c r="F62" s="42"/>
      <c r="G62" s="42"/>
      <c r="H62" s="42"/>
      <c r="I62" s="38">
        <f>SUMIF(K3:K55,"NO",I3:I55)</f>
        <v>202.82512800000001</v>
      </c>
      <c r="J62" s="43"/>
      <c r="K62" s="43"/>
    </row>
    <row r="63" spans="1:11" ht="15">
      <c r="A63" s="42" t="s">
        <v>129</v>
      </c>
      <c r="B63" s="42"/>
      <c r="C63" s="42"/>
      <c r="D63" s="42"/>
      <c r="E63" s="42"/>
      <c r="F63" s="42"/>
      <c r="G63" s="42"/>
      <c r="H63" s="42"/>
      <c r="I63" s="39">
        <f>COUNTBLANK(I3:I55)</f>
        <v>1</v>
      </c>
      <c r="J63" s="43"/>
      <c r="K63" s="43"/>
    </row>
  </sheetData>
  <mergeCells count="8">
    <mergeCell ref="A61:H61"/>
    <mergeCell ref="A62:H62"/>
    <mergeCell ref="A63:H63"/>
    <mergeCell ref="J59:K63"/>
    <mergeCell ref="A1:K1"/>
    <mergeCell ref="A58:K58"/>
    <mergeCell ref="A59:H59"/>
    <mergeCell ref="A60:H60"/>
  </mergeCells>
  <dataValidations count="1">
    <dataValidation type="list" sqref="H3:H42" xr:uid="{00000000-0002-0000-0100-000000000000}">
      <formula1>"YES,NO,CHECK"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Suez Classification</vt:lpstr>
      <vt:lpstr>Volume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. Rokibul Hasan</cp:lastModifiedBy>
  <dcterms:modified xsi:type="dcterms:W3CDTF">2026-10-02T03:56:53Z</dcterms:modified>
</cp:coreProperties>
</file>