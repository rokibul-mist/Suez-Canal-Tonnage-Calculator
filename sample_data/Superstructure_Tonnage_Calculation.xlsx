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_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i val="1"/>
      <color rgb="00555555"/>
      <sz val="8"/>
    </font>
    <font>
      <name val="Calibri"/>
      <b val="1"/>
      <sz val="9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B5B84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D0E1F9"/>
      </patternFill>
    </fill>
    <fill>
      <patternFill patternType="solid">
        <fgColor rgb="00FFE0B2"/>
      </patternFill>
    </fill>
    <fill>
      <patternFill patternType="solid">
        <fgColor rgb="00E0E0E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B365D"/>
      </top>
      <bottom style="double">
        <color rgb="001B365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0" fillId="7" borderId="1" pivotButton="0" quotePrefix="0" xfId="0"/>
    <xf numFmtId="16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0" fontId="0" fillId="8" borderId="1" pivotButton="0" quotePrefix="0" xfId="0"/>
    <xf numFmtId="164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2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right" vertical="center"/>
    </xf>
    <xf numFmtId="0" fontId="0" fillId="9" borderId="1" pivotButton="0" quotePrefix="0" xfId="0"/>
    <xf numFmtId="164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 wrapText="1"/>
    </xf>
    <xf numFmtId="2" fontId="4" fillId="9" borderId="1" applyAlignment="1" pivotButton="0" quotePrefix="0" xfId="0">
      <alignment horizontal="right" vertical="center"/>
    </xf>
    <xf numFmtId="0" fontId="4" fillId="9" borderId="2" applyAlignment="1" pivotButton="0" quotePrefix="0" xfId="0">
      <alignment horizontal="right" vertical="center"/>
    </xf>
    <xf numFmtId="0" fontId="0" fillId="9" borderId="2" pivotButton="0" quotePrefix="0" xfId="0"/>
    <xf numFmtId="164" fontId="4" fillId="9" borderId="2" applyAlignment="1" pivotButton="0" quotePrefix="0" xfId="0">
      <alignment horizontal="right" vertical="center"/>
    </xf>
    <xf numFmtId="0" fontId="4" fillId="9" borderId="2" applyAlignment="1" pivotButton="0" quotePrefix="0" xfId="0">
      <alignment horizontal="center" vertical="center" wrapText="1"/>
    </xf>
    <xf numFmtId="2" fontId="4" fillId="9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30" customWidth="1" min="11" max="11"/>
    <col width="18" customWidth="1" min="12" max="12"/>
  </cols>
  <sheetData>
    <row r="1" ht="28" customHeight="1">
      <c r="A1" s="1" t="inlineStr">
        <is>
          <t>SUEZ CANAL TONNAGE - ROUND HOUSES &amp; DEDUCTED SPACES</t>
        </is>
      </c>
    </row>
    <row r="2" ht="18" customHeight="1">
      <c r="A2" s="2" t="inlineStr">
        <is>
          <t>SCA Rules of Navigation | Moorsom Tonnage (V / 2.83) | Volume = Qty x L x B x H x Form Factor</t>
        </is>
      </c>
    </row>
    <row r="3" ht="18" customHeight="1">
      <c r="A3" s="3" t="inlineStr">
        <is>
          <t>Round Houses, Deckhouses, and Enclosed Spaces added to Gross Tonnage; Deductions applied for Net Tonnage</t>
        </is>
      </c>
    </row>
    <row r="5" ht="24" customHeight="1">
      <c r="A5" s="2" t="inlineStr">
        <is>
          <t>No.</t>
        </is>
      </c>
      <c r="B5" s="2" t="inlineStr">
        <is>
          <t>Deck Level</t>
        </is>
      </c>
      <c r="C5" s="2" t="inlineStr">
        <is>
          <t>Space Description</t>
        </is>
      </c>
      <c r="D5" s="2" t="inlineStr">
        <is>
          <t>Qty</t>
        </is>
      </c>
      <c r="E5" s="2" t="inlineStr">
        <is>
          <t>Length L (m)</t>
        </is>
      </c>
      <c r="F5" s="2" t="inlineStr">
        <is>
          <t>Breadth B (m)</t>
        </is>
      </c>
      <c r="G5" s="2" t="inlineStr">
        <is>
          <t>Height H (m)</t>
        </is>
      </c>
      <c r="H5" s="2" t="inlineStr">
        <is>
          <t>Form Factor k</t>
        </is>
      </c>
      <c r="I5" s="2" t="inlineStr">
        <is>
          <t>Volume (m3)</t>
        </is>
      </c>
      <c r="J5" s="2" t="inlineStr">
        <is>
          <t>Action (Gross/Net)</t>
        </is>
      </c>
      <c r="K5" s="2" t="inlineStr">
        <is>
          <t>Deduction Category</t>
        </is>
      </c>
      <c r="L5" s="2" t="inlineStr">
        <is>
          <t>Tonnage (Suez Tons)</t>
        </is>
      </c>
    </row>
    <row r="6" ht="20" customHeight="1">
      <c r="A6" s="4" t="n">
        <v>1</v>
      </c>
      <c r="B6" s="5" t="inlineStr">
        <is>
          <t>Upper Platform</t>
        </is>
      </c>
      <c r="C6" s="6" t="inlineStr">
        <is>
          <t>Steering Gear Room</t>
        </is>
      </c>
      <c r="D6" s="7" t="n">
        <v>1</v>
      </c>
      <c r="E6" s="8" t="n">
        <v>16.61</v>
      </c>
      <c r="F6" s="8" t="n">
        <v>7.09</v>
      </c>
      <c r="G6" s="8" t="n">
        <v>2.5</v>
      </c>
      <c r="H6" s="9" t="n">
        <v>0.88</v>
      </c>
      <c r="I6" s="10">
        <f>D6*E6*F6*G6*H6</f>
        <v/>
      </c>
      <c r="J6" s="4" t="inlineStr">
        <is>
          <t>Addition</t>
        </is>
      </c>
      <c r="K6" s="5" t="inlineStr">
        <is>
          <t>USED IN WORKING THE SHIP</t>
        </is>
      </c>
      <c r="L6" s="11">
        <f>I6/2.83</f>
        <v/>
      </c>
    </row>
    <row r="7" ht="20" customHeight="1">
      <c r="A7" s="4" t="n">
        <v>2</v>
      </c>
      <c r="B7" s="5" t="inlineStr">
        <is>
          <t>Upper Platform</t>
        </is>
      </c>
      <c r="C7" s="6" t="inlineStr">
        <is>
          <t>Purifier Room</t>
        </is>
      </c>
      <c r="D7" s="7" t="n">
        <v>1</v>
      </c>
      <c r="E7" s="8" t="n">
        <v>9.880000000000001</v>
      </c>
      <c r="F7" s="8" t="n">
        <v>9.74</v>
      </c>
      <c r="G7" s="8" t="n">
        <v>2.5</v>
      </c>
      <c r="H7" s="9" t="n">
        <v>0.92</v>
      </c>
      <c r="I7" s="10">
        <f>D7*E7*F7*G7*H7</f>
        <v/>
      </c>
      <c r="J7" s="4" t="inlineStr">
        <is>
          <t>Addition</t>
        </is>
      </c>
      <c r="K7" s="5" t="inlineStr">
        <is>
          <t>DEDUCTION FOR PROPELLING POWER</t>
        </is>
      </c>
      <c r="L7" s="11">
        <f>I7/2.83</f>
        <v/>
      </c>
    </row>
    <row r="8" ht="20" customHeight="1">
      <c r="A8" s="4" t="n">
        <v>3</v>
      </c>
      <c r="B8" s="5" t="inlineStr">
        <is>
          <t>Upper Platform</t>
        </is>
      </c>
      <c r="C8" s="6" t="inlineStr">
        <is>
          <t>Engine Control Room</t>
        </is>
      </c>
      <c r="D8" s="7" t="n">
        <v>1</v>
      </c>
      <c r="E8" s="8" t="n">
        <v>9.69</v>
      </c>
      <c r="F8" s="8" t="n">
        <v>5.52</v>
      </c>
      <c r="G8" s="8" t="n">
        <v>2.5</v>
      </c>
      <c r="H8" s="9" t="n">
        <v>1</v>
      </c>
      <c r="I8" s="10">
        <f>D8*E8*F8*G8*H8</f>
        <v/>
      </c>
      <c r="J8" s="4" t="inlineStr">
        <is>
          <t>Addition</t>
        </is>
      </c>
      <c r="K8" s="5" t="inlineStr">
        <is>
          <t>DEDUCTION FOR PROPELLING POWER</t>
        </is>
      </c>
      <c r="L8" s="11">
        <f>I8/2.83</f>
        <v/>
      </c>
    </row>
    <row r="9" ht="20" customHeight="1">
      <c r="A9" s="4" t="n">
        <v>4</v>
      </c>
      <c r="B9" s="5" t="inlineStr">
        <is>
          <t>Upper Platform</t>
        </is>
      </c>
      <c r="C9" s="6" t="inlineStr">
        <is>
          <t>Spare Parts Room</t>
        </is>
      </c>
      <c r="D9" s="7" t="n">
        <v>1</v>
      </c>
      <c r="E9" s="8" t="n">
        <v>6.46</v>
      </c>
      <c r="F9" s="8" t="n">
        <v>4.55</v>
      </c>
      <c r="G9" s="8" t="n">
        <v>2.5</v>
      </c>
      <c r="H9" s="9" t="n">
        <v>1</v>
      </c>
      <c r="I9" s="10">
        <f>D9*E9*F9*G9*H9</f>
        <v/>
      </c>
      <c r="J9" s="4" t="inlineStr">
        <is>
          <t>Addition</t>
        </is>
      </c>
      <c r="K9" s="5" t="inlineStr">
        <is>
          <t>DEDUCTION FOR PROPELLING POWER</t>
        </is>
      </c>
      <c r="L9" s="11">
        <f>I9/2.83</f>
        <v/>
      </c>
    </row>
    <row r="10" ht="20" customHeight="1">
      <c r="A10" s="4" t="n">
        <v>5</v>
      </c>
      <c r="B10" s="5" t="inlineStr">
        <is>
          <t>Upper Platform</t>
        </is>
      </c>
      <c r="C10" s="6" t="inlineStr">
        <is>
          <t>Workshop</t>
        </is>
      </c>
      <c r="D10" s="7" t="n">
        <v>1</v>
      </c>
      <c r="E10" s="8" t="n">
        <v>8</v>
      </c>
      <c r="F10" s="8" t="n">
        <v>4.55</v>
      </c>
      <c r="G10" s="8" t="n">
        <v>2.5</v>
      </c>
      <c r="H10" s="9" t="n">
        <v>1</v>
      </c>
      <c r="I10" s="10">
        <f>D10*E10*F10*G10*H10</f>
        <v/>
      </c>
      <c r="J10" s="4" t="inlineStr">
        <is>
          <t>Addition</t>
        </is>
      </c>
      <c r="K10" s="5" t="inlineStr">
        <is>
          <t>DEDUCTION FOR PROPELLING POWER</t>
        </is>
      </c>
      <c r="L10" s="11">
        <f>I10/2.83</f>
        <v/>
      </c>
    </row>
    <row r="11" ht="20" customHeight="1">
      <c r="A11" s="4" t="n">
        <v>6</v>
      </c>
      <c r="B11" s="5" t="inlineStr">
        <is>
          <t>Upper Deck</t>
        </is>
      </c>
      <c r="C11" s="6" t="inlineStr">
        <is>
          <t>CO2 Room</t>
        </is>
      </c>
      <c r="D11" s="7" t="n">
        <v>1</v>
      </c>
      <c r="E11" s="8" t="n">
        <v>6.86</v>
      </c>
      <c r="F11" s="8" t="n">
        <v>6.13</v>
      </c>
      <c r="G11" s="8" t="n">
        <v>2.4</v>
      </c>
      <c r="H11" s="9" t="n">
        <v>0.85</v>
      </c>
      <c r="I11" s="10">
        <f>D11*E11*F11*G11*H11</f>
        <v/>
      </c>
      <c r="J11" s="4" t="inlineStr">
        <is>
          <t>Addition</t>
        </is>
      </c>
      <c r="K11" s="5" t="inlineStr">
        <is>
          <t>USED IN WORKING THE SHIP</t>
        </is>
      </c>
      <c r="L11" s="11">
        <f>I11/2.83</f>
        <v/>
      </c>
    </row>
    <row r="12" ht="20" customHeight="1">
      <c r="A12" s="4" t="n">
        <v>7</v>
      </c>
      <c r="B12" s="5" t="inlineStr">
        <is>
          <t>Upper Deck</t>
        </is>
      </c>
      <c r="C12" s="6" t="inlineStr">
        <is>
          <t>Gymnasium / Recreation</t>
        </is>
      </c>
      <c r="D12" s="7" t="n">
        <v>1</v>
      </c>
      <c r="E12" s="8" t="n">
        <v>6.77</v>
      </c>
      <c r="F12" s="8" t="n">
        <v>3.88</v>
      </c>
      <c r="G12" s="8" t="n">
        <v>2.4</v>
      </c>
      <c r="H12" s="9" t="n">
        <v>1</v>
      </c>
      <c r="I12" s="10">
        <f>D12*E12*F12*G12*H12</f>
        <v/>
      </c>
      <c r="J12" s="4" t="inlineStr">
        <is>
          <t>Addition</t>
        </is>
      </c>
      <c r="K12" s="5" t="inlineStr">
        <is>
          <t>CREW'S ACCOMMODATION</t>
        </is>
      </c>
      <c r="L12" s="11">
        <f>I12/2.83</f>
        <v/>
      </c>
    </row>
    <row r="13" ht="20" customHeight="1">
      <c r="A13" s="4" t="n">
        <v>8</v>
      </c>
      <c r="B13" s="5" t="inlineStr">
        <is>
          <t>Upper Deck</t>
        </is>
      </c>
      <c r="C13" s="6" t="inlineStr">
        <is>
          <t>Laundry / Drying Room</t>
        </is>
      </c>
      <c r="D13" s="7" t="n">
        <v>1</v>
      </c>
      <c r="E13" s="8" t="n">
        <v>4.81</v>
      </c>
      <c r="F13" s="8" t="n">
        <v>2.25</v>
      </c>
      <c r="G13" s="8" t="n">
        <v>2.4</v>
      </c>
      <c r="H13" s="9" t="n">
        <v>1</v>
      </c>
      <c r="I13" s="10">
        <f>D13*E13*F13*G13*H13</f>
        <v/>
      </c>
      <c r="J13" s="4" t="inlineStr">
        <is>
          <t>Addition</t>
        </is>
      </c>
      <c r="K13" s="5" t="inlineStr">
        <is>
          <t>CREW'S ACCOMMODATION</t>
        </is>
      </c>
      <c r="L13" s="11">
        <f>I13/2.83</f>
        <v/>
      </c>
    </row>
    <row r="14" ht="20" customHeight="1">
      <c r="A14" s="4" t="n">
        <v>9</v>
      </c>
      <c r="B14" s="5" t="inlineStr">
        <is>
          <t>Upper Deck</t>
        </is>
      </c>
      <c r="C14" s="6" t="inlineStr">
        <is>
          <t>WC / Lavatory</t>
        </is>
      </c>
      <c r="D14" s="7" t="n">
        <v>1</v>
      </c>
      <c r="E14" s="8" t="n">
        <v>1.96</v>
      </c>
      <c r="F14" s="8" t="n">
        <v>2.25</v>
      </c>
      <c r="G14" s="8" t="n">
        <v>2.4</v>
      </c>
      <c r="H14" s="9" t="n">
        <v>1</v>
      </c>
      <c r="I14" s="10">
        <f>D14*E14*F14*G14*H14</f>
        <v/>
      </c>
      <c r="J14" s="4" t="inlineStr">
        <is>
          <t>Addition</t>
        </is>
      </c>
      <c r="K14" s="5" t="inlineStr">
        <is>
          <t>CREW'S ACCOMMODATION</t>
        </is>
      </c>
      <c r="L14" s="11">
        <f>I14/2.83</f>
        <v/>
      </c>
    </row>
    <row r="15" ht="20" customHeight="1">
      <c r="A15" s="4" t="n">
        <v>10</v>
      </c>
      <c r="B15" s="5" t="inlineStr">
        <is>
          <t>Upper Deck</t>
        </is>
      </c>
      <c r="C15" s="6" t="inlineStr">
        <is>
          <t>Deck Office</t>
        </is>
      </c>
      <c r="D15" s="7" t="n">
        <v>1</v>
      </c>
      <c r="E15" s="8" t="n">
        <v>4.14</v>
      </c>
      <c r="F15" s="8" t="n">
        <v>4.07</v>
      </c>
      <c r="G15" s="8" t="n">
        <v>2.4</v>
      </c>
      <c r="H15" s="9" t="n">
        <v>1</v>
      </c>
      <c r="I15" s="10">
        <f>D15*E15*F15*G15*H15</f>
        <v/>
      </c>
      <c r="J15" s="4" t="inlineStr">
        <is>
          <t>Addition</t>
        </is>
      </c>
      <c r="K15" s="5" t="inlineStr">
        <is>
          <t>USED IN WORKING THE SHIP</t>
        </is>
      </c>
      <c r="L15" s="11">
        <f>I15/2.83</f>
        <v/>
      </c>
    </row>
    <row r="16" ht="20" customHeight="1">
      <c r="A16" s="4" t="n">
        <v>11</v>
      </c>
      <c r="B16" s="5" t="inlineStr">
        <is>
          <t>Upper Deck</t>
        </is>
      </c>
      <c r="C16" s="6" t="inlineStr">
        <is>
          <t>Seaman Cabins</t>
        </is>
      </c>
      <c r="D16" s="7" t="n">
        <v>4</v>
      </c>
      <c r="E16" s="8" t="n">
        <v>3.32</v>
      </c>
      <c r="F16" s="8" t="n">
        <v>4.14</v>
      </c>
      <c r="G16" s="8" t="n">
        <v>2.4</v>
      </c>
      <c r="H16" s="9" t="n">
        <v>1</v>
      </c>
      <c r="I16" s="10">
        <f>D16*E16*F16*G16*H16</f>
        <v/>
      </c>
      <c r="J16" s="4" t="inlineStr">
        <is>
          <t>Addition</t>
        </is>
      </c>
      <c r="K16" s="5" t="inlineStr">
        <is>
          <t>CREW'S ACCOMMODATION</t>
        </is>
      </c>
      <c r="L16" s="11">
        <f>I16/2.83</f>
        <v/>
      </c>
    </row>
    <row r="17" ht="20" customHeight="1">
      <c r="A17" s="4" t="n">
        <v>12</v>
      </c>
      <c r="B17" s="5" t="inlineStr">
        <is>
          <t>Upper Deck</t>
        </is>
      </c>
      <c r="C17" s="6" t="inlineStr">
        <is>
          <t>Motorman Cabins</t>
        </is>
      </c>
      <c r="D17" s="7" t="n">
        <v>2</v>
      </c>
      <c r="E17" s="8" t="n">
        <v>3.14</v>
      </c>
      <c r="F17" s="8" t="n">
        <v>4.14</v>
      </c>
      <c r="G17" s="8" t="n">
        <v>2.4</v>
      </c>
      <c r="H17" s="9" t="n">
        <v>1</v>
      </c>
      <c r="I17" s="10">
        <f>D17*E17*F17*G17*H17</f>
        <v/>
      </c>
      <c r="J17" s="4" t="inlineStr">
        <is>
          <t>Addition</t>
        </is>
      </c>
      <c r="K17" s="5" t="inlineStr">
        <is>
          <t>CREW'S ACCOMMODATION</t>
        </is>
      </c>
      <c r="L17" s="11">
        <f>I17/2.83</f>
        <v/>
      </c>
    </row>
    <row r="18" ht="20" customHeight="1">
      <c r="A18" s="4" t="n">
        <v>13</v>
      </c>
      <c r="B18" s="5" t="inlineStr">
        <is>
          <t>Upper Deck</t>
        </is>
      </c>
      <c r="C18" s="6" t="inlineStr">
        <is>
          <t>A.C. Room</t>
        </is>
      </c>
      <c r="D18" s="7" t="n">
        <v>1</v>
      </c>
      <c r="E18" s="8" t="n">
        <v>6.03</v>
      </c>
      <c r="F18" s="8" t="n">
        <v>5.55</v>
      </c>
      <c r="G18" s="8" t="n">
        <v>2.4</v>
      </c>
      <c r="H18" s="9" t="n">
        <v>1</v>
      </c>
      <c r="I18" s="10">
        <f>D18*E18*F18*G18*H18</f>
        <v/>
      </c>
      <c r="J18" s="4" t="inlineStr">
        <is>
          <t>Addition</t>
        </is>
      </c>
      <c r="K18" s="5" t="inlineStr">
        <is>
          <t>DEDUCTION FOR PROPELLING POWER</t>
        </is>
      </c>
      <c r="L18" s="11">
        <f>I18/2.83</f>
        <v/>
      </c>
    </row>
    <row r="19" ht="20" customHeight="1">
      <c r="A19" s="4" t="n">
        <v>14</v>
      </c>
      <c r="B19" s="5" t="inlineStr">
        <is>
          <t>Upper Deck</t>
        </is>
      </c>
      <c r="C19" s="6" t="inlineStr">
        <is>
          <t>Dry Provision Store</t>
        </is>
      </c>
      <c r="D19" s="7" t="n">
        <v>1</v>
      </c>
      <c r="E19" s="8" t="n">
        <v>6.29</v>
      </c>
      <c r="F19" s="8" t="n">
        <v>3.17</v>
      </c>
      <c r="G19" s="8" t="n">
        <v>2.4</v>
      </c>
      <c r="H19" s="9" t="n">
        <v>0.9</v>
      </c>
      <c r="I19" s="10">
        <f>D19*E19*F19*G19*H19</f>
        <v/>
      </c>
      <c r="J19" s="4" t="inlineStr">
        <is>
          <t>Addition</t>
        </is>
      </c>
      <c r="K19" s="5" t="inlineStr">
        <is>
          <t>NONE</t>
        </is>
      </c>
      <c r="L19" s="11">
        <f>I19/2.83</f>
        <v/>
      </c>
    </row>
    <row r="20" ht="20" customHeight="1">
      <c r="A20" s="4" t="n">
        <v>15</v>
      </c>
      <c r="B20" s="5" t="inlineStr">
        <is>
          <t>Upper Deck</t>
        </is>
      </c>
      <c r="C20" s="6" t="inlineStr">
        <is>
          <t>Meat Store -18C</t>
        </is>
      </c>
      <c r="D20" s="7" t="n">
        <v>1</v>
      </c>
      <c r="E20" s="8" t="n">
        <v>4.87</v>
      </c>
      <c r="F20" s="8" t="n">
        <v>2.18</v>
      </c>
      <c r="G20" s="8" t="n">
        <v>2.4</v>
      </c>
      <c r="H20" s="9" t="n">
        <v>1</v>
      </c>
      <c r="I20" s="10">
        <f>D20*E20*F20*G20*H20</f>
        <v/>
      </c>
      <c r="J20" s="4" t="inlineStr">
        <is>
          <t>Addition</t>
        </is>
      </c>
      <c r="K20" s="5" t="inlineStr">
        <is>
          <t>NONE</t>
        </is>
      </c>
      <c r="L20" s="11">
        <f>I20/2.83</f>
        <v/>
      </c>
    </row>
    <row r="21" ht="20" customHeight="1">
      <c r="A21" s="4" t="n">
        <v>16</v>
      </c>
      <c r="B21" s="5" t="inlineStr">
        <is>
          <t>Upper Deck</t>
        </is>
      </c>
      <c r="C21" s="6" t="inlineStr">
        <is>
          <t>Fish Store -18C</t>
        </is>
      </c>
      <c r="D21" s="7" t="n">
        <v>1</v>
      </c>
      <c r="E21" s="8" t="n">
        <v>4.87</v>
      </c>
      <c r="F21" s="8" t="n">
        <v>2.18</v>
      </c>
      <c r="G21" s="8" t="n">
        <v>2.4</v>
      </c>
      <c r="H21" s="9" t="n">
        <v>1</v>
      </c>
      <c r="I21" s="10">
        <f>D21*E21*F21*G21*H21</f>
        <v/>
      </c>
      <c r="J21" s="4" t="inlineStr">
        <is>
          <t>Addition</t>
        </is>
      </c>
      <c r="K21" s="5" t="inlineStr">
        <is>
          <t>NONE</t>
        </is>
      </c>
      <c r="L21" s="11">
        <f>I21/2.83</f>
        <v/>
      </c>
    </row>
    <row r="22" ht="20" customHeight="1">
      <c r="A22" s="4" t="n">
        <v>17</v>
      </c>
      <c r="B22" s="5" t="inlineStr">
        <is>
          <t>Upper Deck</t>
        </is>
      </c>
      <c r="C22" s="6" t="inlineStr">
        <is>
          <t>Vegetable Store +4C</t>
        </is>
      </c>
      <c r="D22" s="7" t="n">
        <v>1</v>
      </c>
      <c r="E22" s="8" t="n">
        <v>6.29</v>
      </c>
      <c r="F22" s="8" t="n">
        <v>2.5</v>
      </c>
      <c r="G22" s="8" t="n">
        <v>2.4</v>
      </c>
      <c r="H22" s="9" t="n">
        <v>1</v>
      </c>
      <c r="I22" s="10">
        <f>D22*E22*F22*G22*H22</f>
        <v/>
      </c>
      <c r="J22" s="4" t="inlineStr">
        <is>
          <t>Addition</t>
        </is>
      </c>
      <c r="K22" s="5" t="inlineStr">
        <is>
          <t>NONE</t>
        </is>
      </c>
      <c r="L22" s="11">
        <f>I22/2.83</f>
        <v/>
      </c>
    </row>
    <row r="23" ht="20" customHeight="1">
      <c r="A23" s="4" t="n">
        <v>18</v>
      </c>
      <c r="B23" s="5" t="inlineStr">
        <is>
          <t>Upper Deck</t>
        </is>
      </c>
      <c r="C23" s="6" t="inlineStr">
        <is>
          <t>Chief Engineer Office / Day Room</t>
        </is>
      </c>
      <c r="D23" s="7" t="n">
        <v>1</v>
      </c>
      <c r="E23" s="8" t="n">
        <v>4.87</v>
      </c>
      <c r="F23" s="8" t="n">
        <v>3.59</v>
      </c>
      <c r="G23" s="8" t="n">
        <v>2.4</v>
      </c>
      <c r="H23" s="9" t="n">
        <v>1</v>
      </c>
      <c r="I23" s="10">
        <f>D23*E23*F23*G23*H23</f>
        <v/>
      </c>
      <c r="J23" s="4" t="inlineStr">
        <is>
          <t>Addition</t>
        </is>
      </c>
      <c r="K23" s="5" t="inlineStr">
        <is>
          <t>OFFICER'S ACCOMMODATION</t>
        </is>
      </c>
      <c r="L23" s="11">
        <f>I23/2.83</f>
        <v/>
      </c>
    </row>
    <row r="24" ht="20" customHeight="1">
      <c r="A24" s="4" t="n">
        <v>19</v>
      </c>
      <c r="B24" s="5" t="inlineStr">
        <is>
          <t>Boat Deck</t>
        </is>
      </c>
      <c r="C24" s="6" t="inlineStr">
        <is>
          <t>General Store</t>
        </is>
      </c>
      <c r="D24" s="7" t="n">
        <v>1</v>
      </c>
      <c r="E24" s="8" t="n">
        <v>1.48</v>
      </c>
      <c r="F24" s="8" t="n">
        <v>6.09</v>
      </c>
      <c r="G24" s="8" t="n">
        <v>2.4</v>
      </c>
      <c r="H24" s="9" t="n">
        <v>1</v>
      </c>
      <c r="I24" s="10">
        <f>D24*E24*F24*G24*H24</f>
        <v/>
      </c>
      <c r="J24" s="4" t="inlineStr">
        <is>
          <t>Addition</t>
        </is>
      </c>
      <c r="K24" s="5" t="inlineStr">
        <is>
          <t>NONE</t>
        </is>
      </c>
      <c r="L24" s="11">
        <f>I24/2.83</f>
        <v/>
      </c>
    </row>
    <row r="25" ht="20" customHeight="1">
      <c r="A25" s="4" t="n">
        <v>20</v>
      </c>
      <c r="B25" s="5" t="inlineStr">
        <is>
          <t>Boat Deck</t>
        </is>
      </c>
      <c r="C25" s="6" t="inlineStr">
        <is>
          <t>Fire-Fighting Store</t>
        </is>
      </c>
      <c r="D25" s="7" t="n">
        <v>1</v>
      </c>
      <c r="E25" s="8" t="n">
        <v>3.14</v>
      </c>
      <c r="F25" s="8" t="n">
        <v>6.09</v>
      </c>
      <c r="G25" s="8" t="n">
        <v>2.4</v>
      </c>
      <c r="H25" s="9" t="n">
        <v>1</v>
      </c>
      <c r="I25" s="10">
        <f>D25*E25*F25*G25*H25</f>
        <v/>
      </c>
      <c r="J25" s="4" t="inlineStr">
        <is>
          <t>Addition</t>
        </is>
      </c>
      <c r="K25" s="5" t="inlineStr">
        <is>
          <t>USED IN WORKING THE SHIP</t>
        </is>
      </c>
      <c r="L25" s="11">
        <f>I25/2.83</f>
        <v/>
      </c>
    </row>
    <row r="26" ht="20" customHeight="1">
      <c r="A26" s="4" t="n">
        <v>21</v>
      </c>
      <c r="B26" s="5" t="inlineStr">
        <is>
          <t>Boat Deck</t>
        </is>
      </c>
      <c r="C26" s="6" t="inlineStr">
        <is>
          <t>Boat Store</t>
        </is>
      </c>
      <c r="D26" s="7" t="n">
        <v>1</v>
      </c>
      <c r="E26" s="8" t="n">
        <v>0.8</v>
      </c>
      <c r="F26" s="8" t="n">
        <v>2.85</v>
      </c>
      <c r="G26" s="8" t="n">
        <v>2.4</v>
      </c>
      <c r="H26" s="9" t="n">
        <v>1</v>
      </c>
      <c r="I26" s="10">
        <f>D26*E26*F26*G26*H26</f>
        <v/>
      </c>
      <c r="J26" s="4" t="inlineStr">
        <is>
          <t>Addition</t>
        </is>
      </c>
      <c r="K26" s="5" t="inlineStr">
        <is>
          <t>USED IN WORKING THE SHIP</t>
        </is>
      </c>
      <c r="L26" s="11">
        <f>I26/2.83</f>
        <v/>
      </c>
    </row>
    <row r="27" ht="20" customHeight="1">
      <c r="A27" s="4" t="n">
        <v>22</v>
      </c>
      <c r="B27" s="5" t="inlineStr">
        <is>
          <t>Boat Deck</t>
        </is>
      </c>
      <c r="C27" s="6" t="inlineStr">
        <is>
          <t>Crew Mess / Lounge</t>
        </is>
      </c>
      <c r="D27" s="7" t="n">
        <v>1</v>
      </c>
      <c r="E27" s="8" t="n">
        <v>7.89</v>
      </c>
      <c r="F27" s="8" t="n">
        <v>6.06</v>
      </c>
      <c r="G27" s="8" t="n">
        <v>2.4</v>
      </c>
      <c r="H27" s="9" t="n">
        <v>1</v>
      </c>
      <c r="I27" s="10">
        <f>D27*E27*F27*G27*H27</f>
        <v/>
      </c>
      <c r="J27" s="4" t="inlineStr">
        <is>
          <t>Addition</t>
        </is>
      </c>
      <c r="K27" s="5" t="inlineStr">
        <is>
          <t>CREW'S ACCOMMODATION</t>
        </is>
      </c>
      <c r="L27" s="11">
        <f>I27/2.83</f>
        <v/>
      </c>
    </row>
    <row r="28" ht="20" customHeight="1">
      <c r="A28" s="4" t="n">
        <v>23</v>
      </c>
      <c r="B28" s="5" t="inlineStr">
        <is>
          <t>Boat Deck</t>
        </is>
      </c>
      <c r="C28" s="6" t="inlineStr">
        <is>
          <t>Hospital</t>
        </is>
      </c>
      <c r="D28" s="7" t="n">
        <v>1</v>
      </c>
      <c r="E28" s="8" t="n">
        <v>3.94</v>
      </c>
      <c r="F28" s="8" t="n">
        <v>4.3</v>
      </c>
      <c r="G28" s="8" t="n">
        <v>2.4</v>
      </c>
      <c r="H28" s="9" t="n">
        <v>1</v>
      </c>
      <c r="I28" s="10">
        <f>D28*E28*F28*G28*H28</f>
        <v/>
      </c>
      <c r="J28" s="4" t="inlineStr">
        <is>
          <t>Addition</t>
        </is>
      </c>
      <c r="K28" s="5" t="inlineStr">
        <is>
          <t>CREW'S ACCOMMODATION</t>
        </is>
      </c>
      <c r="L28" s="11">
        <f>I28/2.83</f>
        <v/>
      </c>
    </row>
    <row r="29" ht="20" customHeight="1">
      <c r="A29" s="4" t="n">
        <v>24</v>
      </c>
      <c r="B29" s="5" t="inlineStr">
        <is>
          <t>Boat Deck</t>
        </is>
      </c>
      <c r="C29" s="6" t="inlineStr">
        <is>
          <t>Motorman Cabins</t>
        </is>
      </c>
      <c r="D29" s="7" t="n">
        <v>2</v>
      </c>
      <c r="E29" s="8" t="n">
        <v>3.95</v>
      </c>
      <c r="F29" s="8" t="n">
        <v>4.3</v>
      </c>
      <c r="G29" s="8" t="n">
        <v>2.4</v>
      </c>
      <c r="H29" s="9" t="n">
        <v>1</v>
      </c>
      <c r="I29" s="10">
        <f>D29*E29*F29*G29*H29</f>
        <v/>
      </c>
      <c r="J29" s="4" t="inlineStr">
        <is>
          <t>Addition</t>
        </is>
      </c>
      <c r="K29" s="5" t="inlineStr">
        <is>
          <t>CREW'S ACCOMMODATION</t>
        </is>
      </c>
      <c r="L29" s="11">
        <f>I29/2.83</f>
        <v/>
      </c>
    </row>
    <row r="30" ht="20" customHeight="1">
      <c r="A30" s="4" t="n">
        <v>25</v>
      </c>
      <c r="B30" s="5" t="inlineStr">
        <is>
          <t>Boat Deck</t>
        </is>
      </c>
      <c r="C30" s="6" t="inlineStr">
        <is>
          <t>Galley</t>
        </is>
      </c>
      <c r="D30" s="7" t="n">
        <v>1</v>
      </c>
      <c r="E30" s="8" t="n">
        <v>7.09</v>
      </c>
      <c r="F30" s="8" t="n">
        <v>6.06</v>
      </c>
      <c r="G30" s="8" t="n">
        <v>2.4</v>
      </c>
      <c r="H30" s="9" t="n">
        <v>1</v>
      </c>
      <c r="I30" s="10">
        <f>D30*E30*F30*G30*H30</f>
        <v/>
      </c>
      <c r="J30" s="4" t="inlineStr">
        <is>
          <t>Addition</t>
        </is>
      </c>
      <c r="K30" s="5" t="inlineStr">
        <is>
          <t>CREW'S ACCOMMODATION</t>
        </is>
      </c>
      <c r="L30" s="11">
        <f>I30/2.83</f>
        <v/>
      </c>
    </row>
    <row r="31" ht="20" customHeight="1">
      <c r="A31" s="4" t="n">
        <v>26</v>
      </c>
      <c r="B31" s="5" t="inlineStr">
        <is>
          <t>Boat Deck</t>
        </is>
      </c>
      <c r="C31" s="6" t="inlineStr">
        <is>
          <t>Cook Cabin</t>
        </is>
      </c>
      <c r="D31" s="7" t="n">
        <v>1</v>
      </c>
      <c r="E31" s="8" t="n">
        <v>3.94</v>
      </c>
      <c r="F31" s="8" t="n">
        <v>4.3</v>
      </c>
      <c r="G31" s="8" t="n">
        <v>2.4</v>
      </c>
      <c r="H31" s="9" t="n">
        <v>1</v>
      </c>
      <c r="I31" s="10">
        <f>D31*E31*F31*G31*H31</f>
        <v/>
      </c>
      <c r="J31" s="4" t="inlineStr">
        <is>
          <t>Addition</t>
        </is>
      </c>
      <c r="K31" s="5" t="inlineStr">
        <is>
          <t>CREW'S ACCOMMODATION</t>
        </is>
      </c>
      <c r="L31" s="11">
        <f>I31/2.83</f>
        <v/>
      </c>
    </row>
    <row r="32" ht="20" customHeight="1">
      <c r="A32" s="4" t="n">
        <v>27</v>
      </c>
      <c r="B32" s="5" t="inlineStr">
        <is>
          <t>Boat Deck</t>
        </is>
      </c>
      <c r="C32" s="6" t="inlineStr">
        <is>
          <t>Seaman Cabins</t>
        </is>
      </c>
      <c r="D32" s="7" t="n">
        <v>2</v>
      </c>
      <c r="E32" s="8" t="n">
        <v>3.96</v>
      </c>
      <c r="F32" s="8" t="n">
        <v>4.3</v>
      </c>
      <c r="G32" s="8" t="n">
        <v>2.4</v>
      </c>
      <c r="H32" s="9" t="n">
        <v>1</v>
      </c>
      <c r="I32" s="10">
        <f>D32*E32*F32*G32*H32</f>
        <v/>
      </c>
      <c r="J32" s="4" t="inlineStr">
        <is>
          <t>Addition</t>
        </is>
      </c>
      <c r="K32" s="5" t="inlineStr">
        <is>
          <t>CREW'S ACCOMMODATION</t>
        </is>
      </c>
      <c r="L32" s="11">
        <f>I32/2.83</f>
        <v/>
      </c>
    </row>
    <row r="33" ht="20" customHeight="1">
      <c r="A33" s="4" t="n">
        <v>28</v>
      </c>
      <c r="B33" s="5" t="inlineStr">
        <is>
          <t>Boat Deck</t>
        </is>
      </c>
      <c r="C33" s="6" t="inlineStr">
        <is>
          <t>Officers' Mess / Lounge</t>
        </is>
      </c>
      <c r="D33" s="7" t="n">
        <v>1</v>
      </c>
      <c r="E33" s="8" t="n">
        <v>4.78</v>
      </c>
      <c r="F33" s="8" t="n">
        <v>6.06</v>
      </c>
      <c r="G33" s="8" t="n">
        <v>2.4</v>
      </c>
      <c r="H33" s="9" t="n">
        <v>1</v>
      </c>
      <c r="I33" s="10">
        <f>D33*E33*F33*G33*H33</f>
        <v/>
      </c>
      <c r="J33" s="4" t="inlineStr">
        <is>
          <t>Addition</t>
        </is>
      </c>
      <c r="K33" s="5" t="inlineStr">
        <is>
          <t>OFFICER'S ACCOMMODATION</t>
        </is>
      </c>
      <c r="L33" s="11">
        <f>I33/2.83</f>
        <v/>
      </c>
    </row>
    <row r="34" ht="20" customHeight="1">
      <c r="A34" s="4" t="n">
        <v>29</v>
      </c>
      <c r="B34" s="5" t="inlineStr">
        <is>
          <t>Accommodation Deck</t>
        </is>
      </c>
      <c r="C34" s="6" t="inlineStr">
        <is>
          <t>Seaman Cabins</t>
        </is>
      </c>
      <c r="D34" s="7" t="n">
        <v>3</v>
      </c>
      <c r="E34" s="8" t="n">
        <v>3.33</v>
      </c>
      <c r="F34" s="8" t="n">
        <v>5.26</v>
      </c>
      <c r="G34" s="8" t="n">
        <v>2.4</v>
      </c>
      <c r="H34" s="9" t="n">
        <v>1</v>
      </c>
      <c r="I34" s="10">
        <f>D34*E34*F34*G34*H34</f>
        <v/>
      </c>
      <c r="J34" s="4" t="inlineStr">
        <is>
          <t>Addition</t>
        </is>
      </c>
      <c r="K34" s="5" t="inlineStr">
        <is>
          <t>CREW'S ACCOMMODATION</t>
        </is>
      </c>
      <c r="L34" s="11">
        <f>I34/2.83</f>
        <v/>
      </c>
    </row>
    <row r="35" ht="20" customHeight="1">
      <c r="A35" s="4" t="n">
        <v>30</v>
      </c>
      <c r="B35" s="5" t="inlineStr">
        <is>
          <t>Accommodation Deck</t>
        </is>
      </c>
      <c r="C35" s="6" t="inlineStr">
        <is>
          <t>Ordinary Store</t>
        </is>
      </c>
      <c r="D35" s="7" t="n">
        <v>1</v>
      </c>
      <c r="E35" s="8" t="n">
        <v>1.64</v>
      </c>
      <c r="F35" s="8" t="n">
        <v>5.26</v>
      </c>
      <c r="G35" s="8" t="n">
        <v>2.4</v>
      </c>
      <c r="H35" s="9" t="n">
        <v>1</v>
      </c>
      <c r="I35" s="10">
        <f>D35*E35*F35*G35*H35</f>
        <v/>
      </c>
      <c r="J35" s="4" t="inlineStr">
        <is>
          <t>Addition</t>
        </is>
      </c>
      <c r="K35" s="5" t="inlineStr">
        <is>
          <t>NONE</t>
        </is>
      </c>
      <c r="L35" s="11">
        <f>I35/2.83</f>
        <v/>
      </c>
    </row>
    <row r="36" ht="20" customHeight="1">
      <c r="A36" s="4" t="n">
        <v>31</v>
      </c>
      <c r="B36" s="5" t="inlineStr">
        <is>
          <t>Accommodation Deck</t>
        </is>
      </c>
      <c r="C36" s="6" t="inlineStr">
        <is>
          <t>Electrician Cabin</t>
        </is>
      </c>
      <c r="D36" s="7" t="n">
        <v>1</v>
      </c>
      <c r="E36" s="8" t="n">
        <v>3.88</v>
      </c>
      <c r="F36" s="8" t="n">
        <v>5.26</v>
      </c>
      <c r="G36" s="8" t="n">
        <v>2.4</v>
      </c>
      <c r="H36" s="9" t="n">
        <v>1</v>
      </c>
      <c r="I36" s="10">
        <f>D36*E36*F36*G36*H36</f>
        <v/>
      </c>
      <c r="J36" s="4" t="inlineStr">
        <is>
          <t>Addition</t>
        </is>
      </c>
      <c r="K36" s="5" t="inlineStr">
        <is>
          <t>CREW'S ACCOMMODATION</t>
        </is>
      </c>
      <c r="L36" s="11">
        <f>I36/2.83</f>
        <v/>
      </c>
    </row>
    <row r="37" ht="20" customHeight="1">
      <c r="A37" s="4" t="n">
        <v>32</v>
      </c>
      <c r="B37" s="5" t="inlineStr">
        <is>
          <t>Accommodation Deck</t>
        </is>
      </c>
      <c r="C37" s="6" t="inlineStr">
        <is>
          <t>Chief Motorman Cabin</t>
        </is>
      </c>
      <c r="D37" s="7" t="n">
        <v>1</v>
      </c>
      <c r="E37" s="8" t="n">
        <v>3.94</v>
      </c>
      <c r="F37" s="8" t="n">
        <v>5.26</v>
      </c>
      <c r="G37" s="8" t="n">
        <v>2.4</v>
      </c>
      <c r="H37" s="9" t="n">
        <v>1</v>
      </c>
      <c r="I37" s="10">
        <f>D37*E37*F37*G37*H37</f>
        <v/>
      </c>
      <c r="J37" s="4" t="inlineStr">
        <is>
          <t>Addition</t>
        </is>
      </c>
      <c r="K37" s="5" t="inlineStr">
        <is>
          <t>CREW'S ACCOMMODATION</t>
        </is>
      </c>
      <c r="L37" s="11">
        <f>I37/2.83</f>
        <v/>
      </c>
    </row>
    <row r="38" ht="20" customHeight="1">
      <c r="A38" s="4" t="n">
        <v>33</v>
      </c>
      <c r="B38" s="5" t="inlineStr">
        <is>
          <t>Accommodation Deck</t>
        </is>
      </c>
      <c r="C38" s="6" t="inlineStr">
        <is>
          <t>2nd Engineer Suite</t>
        </is>
      </c>
      <c r="D38" s="7" t="n">
        <v>1</v>
      </c>
      <c r="E38" s="8" t="n">
        <v>7.86</v>
      </c>
      <c r="F38" s="8" t="n">
        <v>4.33</v>
      </c>
      <c r="G38" s="8" t="n">
        <v>2.4</v>
      </c>
      <c r="H38" s="9" t="n">
        <v>1</v>
      </c>
      <c r="I38" s="10">
        <f>D38*E38*F38*G38*H38</f>
        <v/>
      </c>
      <c r="J38" s="4" t="inlineStr">
        <is>
          <t>Addition</t>
        </is>
      </c>
      <c r="K38" s="5" t="inlineStr">
        <is>
          <t>OFFICER'S ACCOMMODATION</t>
        </is>
      </c>
      <c r="L38" s="11">
        <f>I38/2.83</f>
        <v/>
      </c>
    </row>
    <row r="39" ht="20" customHeight="1">
      <c r="A39" s="4" t="n">
        <v>34</v>
      </c>
      <c r="B39" s="5" t="inlineStr">
        <is>
          <t>Accommodation Deck</t>
        </is>
      </c>
      <c r="C39" s="6" t="inlineStr">
        <is>
          <t>3rd Engineer Cabin</t>
        </is>
      </c>
      <c r="D39" s="7" t="n">
        <v>1</v>
      </c>
      <c r="E39" s="8" t="n">
        <v>3.85</v>
      </c>
      <c r="F39" s="8" t="n">
        <v>4.33</v>
      </c>
      <c r="G39" s="8" t="n">
        <v>2.4</v>
      </c>
      <c r="H39" s="9" t="n">
        <v>1</v>
      </c>
      <c r="I39" s="10">
        <f>D39*E39*F39*G39*H39</f>
        <v/>
      </c>
      <c r="J39" s="4" t="inlineStr">
        <is>
          <t>Addition</t>
        </is>
      </c>
      <c r="K39" s="5" t="inlineStr">
        <is>
          <t>OFFICER'S ACCOMMODATION</t>
        </is>
      </c>
      <c r="L39" s="11">
        <f>I39/2.83</f>
        <v/>
      </c>
    </row>
    <row r="40" ht="20" customHeight="1">
      <c r="A40" s="4" t="n">
        <v>35</v>
      </c>
      <c r="B40" s="5" t="inlineStr">
        <is>
          <t>Accommodation Deck</t>
        </is>
      </c>
      <c r="C40" s="6" t="inlineStr">
        <is>
          <t>Boatswain Cabin</t>
        </is>
      </c>
      <c r="D40" s="7" t="n">
        <v>1</v>
      </c>
      <c r="E40" s="8" t="n">
        <v>3.91</v>
      </c>
      <c r="F40" s="8" t="n">
        <v>4.33</v>
      </c>
      <c r="G40" s="8" t="n">
        <v>2.4</v>
      </c>
      <c r="H40" s="9" t="n">
        <v>1</v>
      </c>
      <c r="I40" s="10">
        <f>D40*E40*F40*G40*H40</f>
        <v/>
      </c>
      <c r="J40" s="4" t="inlineStr">
        <is>
          <t>Addition</t>
        </is>
      </c>
      <c r="K40" s="5" t="inlineStr">
        <is>
          <t>CREW'S ACCOMMODATION</t>
        </is>
      </c>
      <c r="L40" s="11">
        <f>I40/2.83</f>
        <v/>
      </c>
    </row>
    <row r="41" ht="20" customHeight="1">
      <c r="A41" s="4" t="n">
        <v>36</v>
      </c>
      <c r="B41" s="5" t="inlineStr">
        <is>
          <t>Accommodation Deck</t>
        </is>
      </c>
      <c r="C41" s="6" t="inlineStr">
        <is>
          <t>Chief Officer Suite</t>
        </is>
      </c>
      <c r="D41" s="7" t="n">
        <v>1</v>
      </c>
      <c r="E41" s="8" t="n">
        <v>7.82</v>
      </c>
      <c r="F41" s="8" t="n">
        <v>4.33</v>
      </c>
      <c r="G41" s="8" t="n">
        <v>2.4</v>
      </c>
      <c r="H41" s="9" t="n">
        <v>1</v>
      </c>
      <c r="I41" s="10">
        <f>D41*E41*F41*G41*H41</f>
        <v/>
      </c>
      <c r="J41" s="4" t="inlineStr">
        <is>
          <t>Addition</t>
        </is>
      </c>
      <c r="K41" s="5" t="inlineStr">
        <is>
          <t>OFFICER'S ACCOMMODATION</t>
        </is>
      </c>
      <c r="L41" s="11">
        <f>I41/2.83</f>
        <v/>
      </c>
    </row>
    <row r="42" ht="20" customHeight="1">
      <c r="A42" s="4" t="n">
        <v>37</v>
      </c>
      <c r="B42" s="5" t="inlineStr">
        <is>
          <t>Captain Deck</t>
        </is>
      </c>
      <c r="C42" s="6" t="inlineStr">
        <is>
          <t>4th Engineer Cabin</t>
        </is>
      </c>
      <c r="D42" s="7" t="n">
        <v>1</v>
      </c>
      <c r="E42" s="8" t="n">
        <v>4.01</v>
      </c>
      <c r="F42" s="8" t="n">
        <v>5.2</v>
      </c>
      <c r="G42" s="8" t="n">
        <v>2.4</v>
      </c>
      <c r="H42" s="9" t="n">
        <v>1</v>
      </c>
      <c r="I42" s="10">
        <f>D42*E42*F42*G42*H42</f>
        <v/>
      </c>
      <c r="J42" s="4" t="inlineStr">
        <is>
          <t>Addition</t>
        </is>
      </c>
      <c r="K42" s="5" t="inlineStr">
        <is>
          <t>OFFICER'S ACCOMMODATION</t>
        </is>
      </c>
      <c r="L42" s="11">
        <f>I42/2.83</f>
        <v/>
      </c>
    </row>
    <row r="43" ht="20" customHeight="1">
      <c r="A43" s="4" t="n">
        <v>38</v>
      </c>
      <c r="B43" s="5" t="inlineStr">
        <is>
          <t>Captain Deck</t>
        </is>
      </c>
      <c r="C43" s="6" t="inlineStr">
        <is>
          <t>Crew / Officer Office</t>
        </is>
      </c>
      <c r="D43" s="7" t="n">
        <v>1</v>
      </c>
      <c r="E43" s="8" t="n">
        <v>2.44</v>
      </c>
      <c r="F43" s="8" t="n">
        <v>5.2</v>
      </c>
      <c r="G43" s="8" t="n">
        <v>2.4</v>
      </c>
      <c r="H43" s="9" t="n">
        <v>1</v>
      </c>
      <c r="I43" s="10">
        <f>D43*E43*F43*G43*H43</f>
        <v/>
      </c>
      <c r="J43" s="4" t="inlineStr">
        <is>
          <t>Addition</t>
        </is>
      </c>
      <c r="K43" s="5" t="inlineStr">
        <is>
          <t>OFFICER'S ACCOMMODATION</t>
        </is>
      </c>
      <c r="L43" s="11">
        <f>I43/2.83</f>
        <v/>
      </c>
    </row>
    <row r="44" ht="20" customHeight="1">
      <c r="A44" s="4" t="n">
        <v>39</v>
      </c>
      <c r="B44" s="5" t="inlineStr">
        <is>
          <t>Captain Deck</t>
        </is>
      </c>
      <c r="C44" s="6" t="inlineStr">
        <is>
          <t>Linen / Ordinary Store</t>
        </is>
      </c>
      <c r="D44" s="7" t="n">
        <v>1</v>
      </c>
      <c r="E44" s="8" t="n">
        <v>1.44</v>
      </c>
      <c r="F44" s="8" t="n">
        <v>5.2</v>
      </c>
      <c r="G44" s="8" t="n">
        <v>2.4</v>
      </c>
      <c r="H44" s="9" t="n">
        <v>1</v>
      </c>
      <c r="I44" s="10">
        <f>D44*E44*F44*G44*H44</f>
        <v/>
      </c>
      <c r="J44" s="4" t="inlineStr">
        <is>
          <t>Addition</t>
        </is>
      </c>
      <c r="K44" s="5" t="inlineStr">
        <is>
          <t>NONE</t>
        </is>
      </c>
      <c r="L44" s="11">
        <f>I44/2.83</f>
        <v/>
      </c>
    </row>
    <row r="45" ht="20" customHeight="1">
      <c r="A45" s="4" t="n">
        <v>40</v>
      </c>
      <c r="B45" s="5" t="inlineStr">
        <is>
          <t>Captain Deck</t>
        </is>
      </c>
      <c r="C45" s="6" t="inlineStr">
        <is>
          <t>Pilot Cabin</t>
        </is>
      </c>
      <c r="D45" s="7" t="n">
        <v>1</v>
      </c>
      <c r="E45" s="8" t="n">
        <v>4.01</v>
      </c>
      <c r="F45" s="8" t="n">
        <v>5.2</v>
      </c>
      <c r="G45" s="8" t="n">
        <v>2.4</v>
      </c>
      <c r="H45" s="9" t="n">
        <v>1</v>
      </c>
      <c r="I45" s="10">
        <f>D45*E45*F45*G45*H45</f>
        <v/>
      </c>
      <c r="J45" s="4" t="inlineStr">
        <is>
          <t>Addition</t>
        </is>
      </c>
      <c r="K45" s="5" t="inlineStr">
        <is>
          <t>USED IN WORKING THE SHIP</t>
        </is>
      </c>
      <c r="L45" s="11">
        <f>I45/2.83</f>
        <v/>
      </c>
    </row>
    <row r="46" ht="20" customHeight="1">
      <c r="A46" s="4" t="n">
        <v>41</v>
      </c>
      <c r="B46" s="5" t="inlineStr">
        <is>
          <t>Captain Deck</t>
        </is>
      </c>
      <c r="C46" s="6" t="inlineStr">
        <is>
          <t>3rd Officer Cabin</t>
        </is>
      </c>
      <c r="D46" s="7" t="n">
        <v>1</v>
      </c>
      <c r="E46" s="8" t="n">
        <v>3.94</v>
      </c>
      <c r="F46" s="8" t="n">
        <v>5.2</v>
      </c>
      <c r="G46" s="8" t="n">
        <v>2.4</v>
      </c>
      <c r="H46" s="9" t="n">
        <v>1</v>
      </c>
      <c r="I46" s="10">
        <f>D46*E46*F46*G46*H46</f>
        <v/>
      </c>
      <c r="J46" s="4" t="inlineStr">
        <is>
          <t>Addition</t>
        </is>
      </c>
      <c r="K46" s="5" t="inlineStr">
        <is>
          <t>OFFICER'S ACCOMMODATION</t>
        </is>
      </c>
      <c r="L46" s="11">
        <f>I46/2.83</f>
        <v/>
      </c>
    </row>
    <row r="47" ht="20" customHeight="1">
      <c r="A47" s="4" t="n">
        <v>42</v>
      </c>
      <c r="B47" s="5" t="inlineStr">
        <is>
          <t>Captain Deck</t>
        </is>
      </c>
      <c r="C47" s="6" t="inlineStr">
        <is>
          <t>2nd Officer Cabin</t>
        </is>
      </c>
      <c r="D47" s="7" t="n">
        <v>1</v>
      </c>
      <c r="E47" s="8" t="n">
        <v>3.85</v>
      </c>
      <c r="F47" s="8" t="n">
        <v>5.2</v>
      </c>
      <c r="G47" s="8" t="n">
        <v>2.4</v>
      </c>
      <c r="H47" s="9" t="n">
        <v>1</v>
      </c>
      <c r="I47" s="10">
        <f>D47*E47*F47*G47*H47</f>
        <v/>
      </c>
      <c r="J47" s="4" t="inlineStr">
        <is>
          <t>Addition</t>
        </is>
      </c>
      <c r="K47" s="5" t="inlineStr">
        <is>
          <t>OFFICER'S ACCOMMODATION</t>
        </is>
      </c>
      <c r="L47" s="11">
        <f>I47/2.83</f>
        <v/>
      </c>
    </row>
    <row r="48" ht="20" customHeight="1">
      <c r="A48" s="4" t="n">
        <v>43</v>
      </c>
      <c r="B48" s="5" t="inlineStr">
        <is>
          <t>Captain Deck</t>
        </is>
      </c>
      <c r="C48" s="6" t="inlineStr">
        <is>
          <t>Chief Engineer Suite</t>
        </is>
      </c>
      <c r="D48" s="7" t="n">
        <v>1</v>
      </c>
      <c r="E48" s="8" t="n">
        <v>7.93</v>
      </c>
      <c r="F48" s="8" t="n">
        <v>4.33</v>
      </c>
      <c r="G48" s="8" t="n">
        <v>2.4</v>
      </c>
      <c r="H48" s="9" t="n">
        <v>1</v>
      </c>
      <c r="I48" s="10">
        <f>D48*E48*F48*G48*H48</f>
        <v/>
      </c>
      <c r="J48" s="4" t="inlineStr">
        <is>
          <t>Addition</t>
        </is>
      </c>
      <c r="K48" s="5" t="inlineStr">
        <is>
          <t>OFFICER'S ACCOMMODATION</t>
        </is>
      </c>
      <c r="L48" s="11">
        <f>I48/2.83</f>
        <v/>
      </c>
    </row>
    <row r="49" ht="20" customHeight="1">
      <c r="A49" s="4" t="n">
        <v>44</v>
      </c>
      <c r="B49" s="5" t="inlineStr">
        <is>
          <t>Captain Deck</t>
        </is>
      </c>
      <c r="C49" s="6" t="inlineStr">
        <is>
          <t>Meeting Room</t>
        </is>
      </c>
      <c r="D49" s="7" t="n">
        <v>1</v>
      </c>
      <c r="E49" s="8" t="n">
        <v>7.79</v>
      </c>
      <c r="F49" s="8" t="n">
        <v>4.33</v>
      </c>
      <c r="G49" s="8" t="n">
        <v>2.4</v>
      </c>
      <c r="H49" s="9" t="n">
        <v>1</v>
      </c>
      <c r="I49" s="10">
        <f>D49*E49*F49*G49*H49</f>
        <v/>
      </c>
      <c r="J49" s="4" t="inlineStr">
        <is>
          <t>Addition</t>
        </is>
      </c>
      <c r="K49" s="5" t="inlineStr">
        <is>
          <t>OFFICER'S ACCOMMODATION</t>
        </is>
      </c>
      <c r="L49" s="11">
        <f>I49/2.83</f>
        <v/>
      </c>
    </row>
    <row r="50" ht="20" customHeight="1">
      <c r="A50" s="4" t="n">
        <v>45</v>
      </c>
      <c r="B50" s="5" t="inlineStr">
        <is>
          <t>Captain Deck</t>
        </is>
      </c>
      <c r="C50" s="6" t="inlineStr">
        <is>
          <t>Captain Suite</t>
        </is>
      </c>
      <c r="D50" s="7" t="n">
        <v>1</v>
      </c>
      <c r="E50" s="8" t="n">
        <v>7.83</v>
      </c>
      <c r="F50" s="8" t="n">
        <v>4.33</v>
      </c>
      <c r="G50" s="8" t="n">
        <v>2.4</v>
      </c>
      <c r="H50" s="9" t="n">
        <v>1</v>
      </c>
      <c r="I50" s="10">
        <f>D50*E50*F50*G50*H50</f>
        <v/>
      </c>
      <c r="J50" s="4" t="inlineStr">
        <is>
          <t>Addition</t>
        </is>
      </c>
      <c r="K50" s="5" t="inlineStr">
        <is>
          <t>OFFICER'S ACCOMMODATION</t>
        </is>
      </c>
      <c r="L50" s="11">
        <f>I50/2.83</f>
        <v/>
      </c>
    </row>
    <row r="51" ht="20" customHeight="1">
      <c r="A51" s="4" t="n">
        <v>46</v>
      </c>
      <c r="B51" s="5" t="inlineStr">
        <is>
          <t>Bridge Deck</t>
        </is>
      </c>
      <c r="C51" s="6" t="inlineStr">
        <is>
          <t>Radio Room</t>
        </is>
      </c>
      <c r="D51" s="7" t="n">
        <v>1</v>
      </c>
      <c r="E51" s="8" t="n">
        <v>3.62</v>
      </c>
      <c r="F51" s="8" t="n">
        <v>2.4</v>
      </c>
      <c r="G51" s="8" t="n">
        <v>2.4</v>
      </c>
      <c r="H51" s="9" t="n">
        <v>1</v>
      </c>
      <c r="I51" s="10">
        <f>D51*E51*F51*G51*H51</f>
        <v/>
      </c>
      <c r="J51" s="4" t="inlineStr">
        <is>
          <t>Addition</t>
        </is>
      </c>
      <c r="K51" s="5" t="inlineStr">
        <is>
          <t>USED IN WORKING THE SHIP</t>
        </is>
      </c>
      <c r="L51" s="11">
        <f>I51/2.83</f>
        <v/>
      </c>
    </row>
    <row r="52" ht="20" customHeight="1">
      <c r="A52" s="4" t="n">
        <v>47</v>
      </c>
      <c r="B52" s="5" t="inlineStr">
        <is>
          <t>Bridge Deck</t>
        </is>
      </c>
      <c r="C52" s="6" t="inlineStr">
        <is>
          <t>Chart Rooms (combined)</t>
        </is>
      </c>
      <c r="D52" s="7" t="n">
        <v>1</v>
      </c>
      <c r="E52" s="8" t="n">
        <v>3.62</v>
      </c>
      <c r="F52" s="8" t="n">
        <v>3.93</v>
      </c>
      <c r="G52" s="8" t="n">
        <v>2.4</v>
      </c>
      <c r="H52" s="9" t="n">
        <v>1</v>
      </c>
      <c r="I52" s="10">
        <f>D52*E52*F52*G52*H52</f>
        <v/>
      </c>
      <c r="J52" s="4" t="inlineStr">
        <is>
          <t>Addition</t>
        </is>
      </c>
      <c r="K52" s="5" t="inlineStr">
        <is>
          <t>USED IN WORKING THE SHIP</t>
        </is>
      </c>
      <c r="L52" s="11">
        <f>I52/2.83</f>
        <v/>
      </c>
    </row>
    <row r="53" ht="20" customHeight="1">
      <c r="A53" s="4" t="n">
        <v>48</v>
      </c>
      <c r="B53" s="5" t="inlineStr">
        <is>
          <t>Bridge Deck</t>
        </is>
      </c>
      <c r="C53" s="6" t="inlineStr">
        <is>
          <t>Battery Room (radio/navigation)</t>
        </is>
      </c>
      <c r="D53" s="7" t="n">
        <v>1</v>
      </c>
      <c r="E53" s="8" t="n">
        <v>1.89</v>
      </c>
      <c r="F53" s="8" t="n">
        <v>1.6</v>
      </c>
      <c r="G53" s="8" t="n">
        <v>2.4</v>
      </c>
      <c r="H53" s="9" t="n">
        <v>1</v>
      </c>
      <c r="I53" s="10">
        <f>D53*E53*F53*G53*H53</f>
        <v/>
      </c>
      <c r="J53" s="4" t="inlineStr">
        <is>
          <t>Addition</t>
        </is>
      </c>
      <c r="K53" s="5" t="inlineStr">
        <is>
          <t>USED IN WORKING THE SHIP</t>
        </is>
      </c>
      <c r="L53" s="11">
        <f>I53/2.83</f>
        <v/>
      </c>
    </row>
    <row r="54" ht="20" customHeight="1">
      <c r="A54" s="4" t="n">
        <v>49</v>
      </c>
      <c r="B54" s="5" t="inlineStr">
        <is>
          <t>Bridge Deck</t>
        </is>
      </c>
      <c r="C54" s="6" t="inlineStr">
        <is>
          <t>Ordinary Store</t>
        </is>
      </c>
      <c r="D54" s="7" t="n">
        <v>1</v>
      </c>
      <c r="E54" s="8" t="n">
        <v>1.89</v>
      </c>
      <c r="F54" s="8" t="n">
        <v>2.37</v>
      </c>
      <c r="G54" s="8" t="n">
        <v>2.4</v>
      </c>
      <c r="H54" s="9" t="n">
        <v>1</v>
      </c>
      <c r="I54" s="10">
        <f>D54*E54*F54*G54*H54</f>
        <v/>
      </c>
      <c r="J54" s="4" t="inlineStr">
        <is>
          <t>Addition</t>
        </is>
      </c>
      <c r="K54" s="5" t="inlineStr">
        <is>
          <t>NONE</t>
        </is>
      </c>
      <c r="L54" s="11">
        <f>I54/2.83</f>
        <v/>
      </c>
    </row>
    <row r="55" ht="20" customHeight="1">
      <c r="A55" s="4" t="n">
        <v>50</v>
      </c>
      <c r="B55" s="5" t="inlineStr">
        <is>
          <t>Bridge Deck</t>
        </is>
      </c>
      <c r="C55" s="6" t="inlineStr">
        <is>
          <t>Wheelhouse (net)</t>
        </is>
      </c>
      <c r="D55" s="7" t="n">
        <v>1</v>
      </c>
      <c r="E55" s="8" t="n">
        <v>15.14</v>
      </c>
      <c r="F55" s="8" t="n">
        <v>5.49</v>
      </c>
      <c r="G55" s="8" t="n">
        <v>2.4</v>
      </c>
      <c r="H55" s="9" t="n">
        <v>1</v>
      </c>
      <c r="I55" s="10">
        <f>D55*E55*F55*G55*H55</f>
        <v/>
      </c>
      <c r="J55" s="4" t="inlineStr">
        <is>
          <t>Addition</t>
        </is>
      </c>
      <c r="K55" s="5" t="inlineStr">
        <is>
          <t>USED IN WORKING THE SHIP</t>
        </is>
      </c>
      <c r="L55" s="11">
        <f>I55/2.83</f>
        <v/>
      </c>
    </row>
    <row r="56" ht="20" customHeight="1">
      <c r="A56" s="4" t="n">
        <v>51</v>
      </c>
      <c r="B56" s="5" t="inlineStr">
        <is>
          <t>Boat Deck</t>
        </is>
      </c>
      <c r="C56" s="6" t="inlineStr">
        <is>
          <t>Engine Casing (measured segment)</t>
        </is>
      </c>
      <c r="D56" s="7" t="n">
        <v>1</v>
      </c>
      <c r="E56" s="8" t="n">
        <v>7.76</v>
      </c>
      <c r="F56" s="8" t="n">
        <v>7.47</v>
      </c>
      <c r="G56" s="8" t="n">
        <v>2.4</v>
      </c>
      <c r="H56" s="9" t="n">
        <v>1</v>
      </c>
      <c r="I56" s="10">
        <f>D56*E56*F56*G56*H56</f>
        <v/>
      </c>
      <c r="J56" s="4" t="inlineStr">
        <is>
          <t>Addition</t>
        </is>
      </c>
      <c r="K56" s="5" t="inlineStr">
        <is>
          <t>DEDUCTION FOR PROPELLING POWER</t>
        </is>
      </c>
      <c r="L56" s="11">
        <f>I56/2.83</f>
        <v/>
      </c>
    </row>
    <row r="57" ht="20" customHeight="1">
      <c r="A57" s="4" t="n">
        <v>52</v>
      </c>
      <c r="B57" s="5" t="inlineStr">
        <is>
          <t>Accom. &amp; Capt. Decks</t>
        </is>
      </c>
      <c r="C57" s="6" t="inlineStr">
        <is>
          <t>Funnel Casing</t>
        </is>
      </c>
      <c r="D57" s="7" t="n">
        <v>2</v>
      </c>
      <c r="E57" s="8" t="n">
        <v>7.86</v>
      </c>
      <c r="F57" s="8" t="n">
        <v>5.45</v>
      </c>
      <c r="G57" s="8" t="n">
        <v>2.4</v>
      </c>
      <c r="H57" s="9" t="n">
        <v>1</v>
      </c>
      <c r="I57" s="10">
        <f>D57*E57*F57*G57*H57</f>
        <v/>
      </c>
      <c r="J57" s="4" t="inlineStr">
        <is>
          <t>Addition</t>
        </is>
      </c>
      <c r="K57" s="5" t="inlineStr">
        <is>
          <t>DEDUCTION FOR PROPELLING POWER</t>
        </is>
      </c>
      <c r="L57" s="11">
        <f>I57/2.83</f>
        <v/>
      </c>
    </row>
    <row r="58" ht="20" customHeight="1">
      <c r="A58" s="4" t="n">
        <v>53</v>
      </c>
      <c r="B58" s="5" t="inlineStr">
        <is>
          <t>Unresolved</t>
        </is>
      </c>
      <c r="C58" s="6" t="inlineStr">
        <is>
          <t>Refrigerating Machinery Room</t>
        </is>
      </c>
      <c r="D58" s="7" t="n">
        <v>1</v>
      </c>
      <c r="E58" s="8" t="n">
        <v>0</v>
      </c>
      <c r="F58" s="8" t="n">
        <v>0</v>
      </c>
      <c r="G58" s="8" t="n">
        <v>0</v>
      </c>
      <c r="H58" s="9" t="n">
        <v>1</v>
      </c>
      <c r="I58" s="10">
        <f>D58*E58*F58*G58*H58</f>
        <v/>
      </c>
      <c r="J58" s="4" t="inlineStr">
        <is>
          <t>Addition</t>
        </is>
      </c>
      <c r="K58" s="5" t="inlineStr">
        <is>
          <t>DEDUCTION FOR PROPELLING POWER</t>
        </is>
      </c>
      <c r="L58" s="11">
        <f>I58/2.83</f>
        <v/>
      </c>
    </row>
    <row r="59" ht="22" customHeight="1">
      <c r="A59" s="12" t="inlineStr">
        <is>
          <t>TOTAL ROUND HOUSES, ETC. (GROSS TONNAGE ADDITION)</t>
        </is>
      </c>
      <c r="B59" s="13" t="n"/>
      <c r="C59" s="13" t="n"/>
      <c r="D59" s="13" t="n"/>
      <c r="E59" s="13" t="n"/>
      <c r="F59" s="13" t="n"/>
      <c r="G59" s="13" t="n"/>
      <c r="H59" s="13" t="n"/>
      <c r="I59" s="14">
        <f>SUM(I6:I58)</f>
        <v/>
      </c>
      <c r="J59" s="15" t="inlineStr">
        <is>
          <t>Addition</t>
        </is>
      </c>
      <c r="K59" s="15" t="inlineStr">
        <is>
          <t>All Round Houses</t>
        </is>
      </c>
      <c r="L59" s="16">
        <f>SUM(L6:L58)</f>
        <v/>
      </c>
    </row>
    <row r="60" ht="20" customHeight="1">
      <c r="A60" s="17" t="inlineStr">
        <is>
          <t>OFFICER'S ACCOMMODATION DEDUCTION</t>
        </is>
      </c>
      <c r="B60" s="18" t="n"/>
      <c r="C60" s="18" t="n"/>
      <c r="D60" s="18" t="n"/>
      <c r="E60" s="18" t="n"/>
      <c r="F60" s="18" t="n"/>
      <c r="G60" s="18" t="n"/>
      <c r="H60" s="18" t="n"/>
      <c r="I60" s="19">
        <f>SUMIF(K6:K58, "OFFICER'S ACCOMMODATION", I6:I58)</f>
        <v/>
      </c>
      <c r="J60" s="20" t="inlineStr">
        <is>
          <t>Deduction</t>
        </is>
      </c>
      <c r="K60" s="20" t="inlineStr">
        <is>
          <t>Officers</t>
        </is>
      </c>
      <c r="L60" s="21">
        <f>SUMIF(K6:K58, "OFFICER'S ACCOMMODATION", L6:L58)</f>
        <v/>
      </c>
    </row>
    <row r="61" ht="20" customHeight="1">
      <c r="A61" s="17" t="inlineStr">
        <is>
          <t>CREW'S ACCOMMODATION DEDUCTION</t>
        </is>
      </c>
      <c r="B61" s="18" t="n"/>
      <c r="C61" s="18" t="n"/>
      <c r="D61" s="18" t="n"/>
      <c r="E61" s="18" t="n"/>
      <c r="F61" s="18" t="n"/>
      <c r="G61" s="18" t="n"/>
      <c r="H61" s="18" t="n"/>
      <c r="I61" s="19">
        <f>SUMIF(K6:K58, "CREW'S ACCOMMODATION", I6:I58)</f>
        <v/>
      </c>
      <c r="J61" s="20" t="inlineStr">
        <is>
          <t>Deduction</t>
        </is>
      </c>
      <c r="K61" s="20" t="inlineStr">
        <is>
          <t>Crew</t>
        </is>
      </c>
      <c r="L61" s="21">
        <f>SUMIF(K6:K58, "CREW'S ACCOMMODATION", L6:L58)</f>
        <v/>
      </c>
    </row>
    <row r="62" ht="20" customHeight="1">
      <c r="A62" s="17" t="inlineStr">
        <is>
          <t>USED IN WORKING THE SHIP DEDUCTION</t>
        </is>
      </c>
      <c r="B62" s="18" t="n"/>
      <c r="C62" s="18" t="n"/>
      <c r="D62" s="18" t="n"/>
      <c r="E62" s="18" t="n"/>
      <c r="F62" s="18" t="n"/>
      <c r="G62" s="18" t="n"/>
      <c r="H62" s="18" t="n"/>
      <c r="I62" s="19">
        <f>SUMIF(K6:K58, "USED IN WORKING THE SHIP", I6:I58)</f>
        <v/>
      </c>
      <c r="J62" s="20" t="inlineStr">
        <is>
          <t>Deduction</t>
        </is>
      </c>
      <c r="K62" s="20" t="inlineStr">
        <is>
          <t>Navigation/Safety</t>
        </is>
      </c>
      <c r="L62" s="21">
        <f>SUMIF(K6:K58, "USED IN WORKING THE SHIP", L6:L58)</f>
        <v/>
      </c>
    </row>
    <row r="63" ht="20" customHeight="1">
      <c r="A63" s="17" t="inlineStr">
        <is>
          <t>DEDUCTION FOR PROPELLING POWER</t>
        </is>
      </c>
      <c r="B63" s="18" t="n"/>
      <c r="C63" s="18" t="n"/>
      <c r="D63" s="18" t="n"/>
      <c r="E63" s="18" t="n"/>
      <c r="F63" s="18" t="n"/>
      <c r="G63" s="18" t="n"/>
      <c r="H63" s="18" t="n"/>
      <c r="I63" s="19">
        <f>SUMIF(K6:K58, "DEDUCTION FOR PROPELLING POWER", I6:I58)</f>
        <v/>
      </c>
      <c r="J63" s="20" t="inlineStr">
        <is>
          <t>Deduction</t>
        </is>
      </c>
      <c r="K63" s="20" t="inlineStr">
        <is>
          <t>Propelling/Machinery</t>
        </is>
      </c>
      <c r="L63" s="21">
        <f>SUMIF(K6:K58, "DEDUCTION FOR PROPELLING POWER", L6:L58)</f>
        <v/>
      </c>
    </row>
    <row r="64" ht="22" customHeight="1">
      <c r="A64" s="22" t="inlineStr">
        <is>
          <t>TOTAL DEDUCTIONS</t>
        </is>
      </c>
      <c r="B64" s="23" t="n"/>
      <c r="C64" s="23" t="n"/>
      <c r="D64" s="23" t="n"/>
      <c r="E64" s="23" t="n"/>
      <c r="F64" s="23" t="n"/>
      <c r="G64" s="23" t="n"/>
      <c r="H64" s="23" t="n"/>
      <c r="I64" s="24">
        <f>I60+I61+I62+I63</f>
        <v/>
      </c>
      <c r="J64" s="25" t="inlineStr">
        <is>
          <t>Deduction</t>
        </is>
      </c>
      <c r="K64" s="25" t="inlineStr">
        <is>
          <t>Total</t>
        </is>
      </c>
      <c r="L64" s="26">
        <f>L60+L61+L62+L63</f>
        <v/>
      </c>
    </row>
    <row r="65" ht="24" customHeight="1">
      <c r="A65" s="27" t="inlineStr">
        <is>
          <t>NET TONNAGE BALANCE (ADDITIONS - DEDUCTIONS)</t>
        </is>
      </c>
      <c r="B65" s="28" t="n"/>
      <c r="C65" s="28" t="n"/>
      <c r="D65" s="28" t="n"/>
      <c r="E65" s="28" t="n"/>
      <c r="F65" s="28" t="n"/>
      <c r="G65" s="28" t="n"/>
      <c r="H65" s="28" t="n"/>
      <c r="I65" s="29">
        <f>I59-I64</f>
        <v/>
      </c>
      <c r="J65" s="30" t="inlineStr">
        <is>
          <t>Net</t>
        </is>
      </c>
      <c r="K65" s="30" t="inlineStr">
        <is>
          <t>Net Balance</t>
        </is>
      </c>
      <c r="L65" s="31">
        <f>L59-L64</f>
        <v/>
      </c>
    </row>
  </sheetData>
  <mergeCells count="10">
    <mergeCell ref="A2:L2"/>
    <mergeCell ref="A62:H62"/>
    <mergeCell ref="A59:H59"/>
    <mergeCell ref="A65:H65"/>
    <mergeCell ref="A1:L1"/>
    <mergeCell ref="A63:H63"/>
    <mergeCell ref="A64:H64"/>
    <mergeCell ref="A60:H60"/>
    <mergeCell ref="A3:L3"/>
    <mergeCell ref="A61:H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2026-10-02T07:17:03Z</dcterms:created>
  <dcterms:modified xmlns:dcterms="http://purl.org/dc/terms/" xmlns:xsi="http://www.w3.org/2001/XMLSchema-instance" xsi:type="dcterms:W3CDTF">2026-10-02T07:17:03Z</dcterms:modified>
</cp:coreProperties>
</file>